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tabRatio="649" firstSheet="1"/>
  </bookViews>
  <sheets>
    <sheet name="Privat" sheetId="17" r:id="rId1"/>
    <sheet name="Indtægter (Forecast)" sheetId="14" r:id="rId2"/>
    <sheet name="Udgifter (Forecast)" sheetId="16" r:id="rId3"/>
    <sheet name="Etablering_2026" sheetId="15" r:id="rId4"/>
    <sheet name="Likviditetsbudget" sheetId="1" r:id="rId5"/>
    <sheet name="Driftsbudget" sheetId="2" r:id="rId6"/>
    <sheet name="Forsikringer" sheetId="18" r:id="rId7"/>
  </sheets>
  <definedNames>
    <definedName name="_xlnm._FilterDatabase" localSheetId="2" hidden="1">'Udgifter (Forecast)'!$E$1:$E$127</definedName>
    <definedName name="_xlnm._FilterDatabase" localSheetId="3" hidden="1">Etablering_2026!$F$1:$F$18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mette</author>
  </authors>
  <commentList>
    <comment ref="A21" authorId="0">
      <text>
        <r>
          <rPr>
            <b/>
            <sz val="9"/>
            <rFont val="Times New Roman"/>
            <charset val="0"/>
          </rPr>
          <t>mette:</t>
        </r>
        <r>
          <rPr>
            <sz val="9"/>
            <rFont val="Times New Roman"/>
            <charset val="0"/>
          </rPr>
          <t xml:space="preserve">
Det meste går til foder og strøelse til høns</t>
        </r>
      </text>
    </comment>
    <comment ref="A42" authorId="0">
      <text>
        <r>
          <rPr>
            <b/>
            <sz val="9"/>
            <rFont val="Times New Roman"/>
            <charset val="0"/>
          </rPr>
          <t>mette:</t>
        </r>
        <r>
          <rPr>
            <sz val="9"/>
            <rFont val="Times New Roman"/>
            <charset val="0"/>
          </rPr>
          <t xml:space="preserve">
Det meste går til foder og strøelse til høns</t>
        </r>
      </text>
    </comment>
    <comment ref="A63" authorId="0">
      <text>
        <r>
          <rPr>
            <b/>
            <sz val="9"/>
            <rFont val="Times New Roman"/>
            <charset val="0"/>
          </rPr>
          <t>mette:</t>
        </r>
        <r>
          <rPr>
            <sz val="9"/>
            <rFont val="Times New Roman"/>
            <charset val="0"/>
          </rPr>
          <t xml:space="preserve">
Det meste går til foder og strøelse til høns</t>
        </r>
      </text>
    </comment>
    <comment ref="A84" authorId="0">
      <text>
        <r>
          <rPr>
            <b/>
            <sz val="9"/>
            <rFont val="Times New Roman"/>
            <charset val="0"/>
          </rPr>
          <t>mette:</t>
        </r>
        <r>
          <rPr>
            <sz val="9"/>
            <rFont val="Times New Roman"/>
            <charset val="0"/>
          </rPr>
          <t xml:space="preserve">
Det meste går til foder og strøelse til høns</t>
        </r>
      </text>
    </comment>
    <comment ref="A105" authorId="0">
      <text>
        <r>
          <rPr>
            <b/>
            <sz val="9"/>
            <rFont val="Times New Roman"/>
            <charset val="0"/>
          </rPr>
          <t>mette:</t>
        </r>
        <r>
          <rPr>
            <sz val="9"/>
            <rFont val="Times New Roman"/>
            <charset val="0"/>
          </rPr>
          <t xml:space="preserve">
Det meste går til foder og strøelse til høns</t>
        </r>
      </text>
    </comment>
    <comment ref="A126" authorId="0">
      <text>
        <r>
          <rPr>
            <b/>
            <sz val="9"/>
            <rFont val="Times New Roman"/>
            <charset val="0"/>
          </rPr>
          <t>mette:</t>
        </r>
        <r>
          <rPr>
            <sz val="9"/>
            <rFont val="Times New Roman"/>
            <charset val="0"/>
          </rPr>
          <t xml:space="preserve">
Det meste går til foder og strøelse til høns</t>
        </r>
      </text>
    </comment>
  </commentList>
</comments>
</file>

<file path=xl/comments2.xml><?xml version="1.0" encoding="utf-8"?>
<comments xmlns="http://schemas.openxmlformats.org/spreadsheetml/2006/main">
  <authors>
    <author>mette</author>
  </authors>
  <commentList>
    <comment ref="A31" authorId="0">
      <text>
        <r>
          <rPr>
            <b/>
            <sz val="9"/>
            <rFont val="Times New Roman"/>
            <charset val="0"/>
          </rPr>
          <t>mette:</t>
        </r>
        <r>
          <rPr>
            <sz val="9"/>
            <rFont val="Times New Roman"/>
            <charset val="0"/>
          </rPr>
          <t xml:space="preserve">
Det meste går til foder og strøelse til høns</t>
        </r>
      </text>
    </comment>
    <comment ref="A62" authorId="0">
      <text>
        <r>
          <rPr>
            <b/>
            <sz val="9"/>
            <rFont val="Times New Roman"/>
            <charset val="0"/>
          </rPr>
          <t>mette:</t>
        </r>
        <r>
          <rPr>
            <sz val="9"/>
            <rFont val="Times New Roman"/>
            <charset val="0"/>
          </rPr>
          <t xml:space="preserve">
25% afskrivning</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<sst xmlns="http://schemas.openxmlformats.org/spreadsheetml/2006/main" count="1022" uniqueCount="240">
  <si>
    <t>Udgifter/Indtægter</t>
  </si>
  <si>
    <t>Kategori</t>
  </si>
  <si>
    <t>Kreditlån</t>
  </si>
  <si>
    <t>Bygning</t>
  </si>
  <si>
    <t>Banklån</t>
  </si>
  <si>
    <t>Grundskyld, ejendomsværdiskat og offentlige afgifter</t>
  </si>
  <si>
    <t>Studiegæld</t>
  </si>
  <si>
    <t>Gæld</t>
  </si>
  <si>
    <t>Billån (Afbetaling + renter)</t>
  </si>
  <si>
    <t>Bil</t>
  </si>
  <si>
    <t>Sygeforsikring + medicin</t>
  </si>
  <si>
    <t>Forsikring</t>
  </si>
  <si>
    <t>A-kasse (Det faglige hus)</t>
  </si>
  <si>
    <t>Andet</t>
  </si>
  <si>
    <t>Fagforening</t>
  </si>
  <si>
    <t>Hund (Foder og flåtpiller)</t>
  </si>
  <si>
    <t>Dyr</t>
  </si>
  <si>
    <t>Ponyer (Wrap om vinteren)</t>
  </si>
  <si>
    <t>Vestjylland forsikring</t>
  </si>
  <si>
    <t>Livsforsikring</t>
  </si>
  <si>
    <t>Tab af erhvervsevne</t>
  </si>
  <si>
    <t>Sundhedsforsikring</t>
  </si>
  <si>
    <t>Vand</t>
  </si>
  <si>
    <t>Forbrug</t>
  </si>
  <si>
    <t>Grøn ejerafgift</t>
  </si>
  <si>
    <t>El-forbrug (inkl. ladning)</t>
  </si>
  <si>
    <t>Daginstitution</t>
  </si>
  <si>
    <t>Børn</t>
  </si>
  <si>
    <t>(Streaming)tjenester (Netflix, Disney, Lifesum)</t>
  </si>
  <si>
    <t>Fritid</t>
  </si>
  <si>
    <t>Mobil</t>
  </si>
  <si>
    <t>Tandlæge</t>
  </si>
  <si>
    <t>Jagttegn</t>
  </si>
  <si>
    <t>Træpiller</t>
  </si>
  <si>
    <t>RønGårdens driftomkostninger - gennemsnit over året (u. moms)</t>
  </si>
  <si>
    <t>Drift</t>
  </si>
  <si>
    <t>RønGårdens overskud (u. moms + efter skat) - gennemsnit over året</t>
  </si>
  <si>
    <t>Lønoverførsel fra RønGården (Inden skat)</t>
  </si>
  <si>
    <t>Alexander løn</t>
  </si>
  <si>
    <t>Indkomst</t>
  </si>
  <si>
    <t>Hjemmepasningstillæg</t>
  </si>
  <si>
    <t>Børnepenge</t>
  </si>
  <si>
    <t>Overføres til budgetkonto</t>
  </si>
  <si>
    <t>Budget</t>
  </si>
  <si>
    <t>Overføres til "Mad og diverse"</t>
  </si>
  <si>
    <t>Overføres til opsparingskontoen</t>
  </si>
  <si>
    <t>Opsparing</t>
  </si>
  <si>
    <t>Difference erhvervskonto</t>
  </si>
  <si>
    <t>Erhvervsopsparing</t>
  </si>
  <si>
    <t>Formue ultimo (Saldo på opsparing)</t>
  </si>
  <si>
    <t>Formue</t>
  </si>
  <si>
    <t>Formue (Saldo på erhvervskonto)</t>
  </si>
  <si>
    <t>Formue i alt</t>
  </si>
  <si>
    <t>Aktivitet</t>
  </si>
  <si>
    <t>Månede start</t>
  </si>
  <si>
    <t>Månede slut</t>
  </si>
  <si>
    <t>Postering</t>
  </si>
  <si>
    <t>Type indtægt/ udgift</t>
  </si>
  <si>
    <t>Enhed</t>
  </si>
  <si>
    <t>Enhedspris i DKK (m. moms)</t>
  </si>
  <si>
    <t>Enheder total</t>
  </si>
  <si>
    <t>Fordelt på antal mdr</t>
  </si>
  <si>
    <t>Indtægt pr mdr (m. moms)</t>
  </si>
  <si>
    <t>Indtægt pr mdr (u. moms)</t>
  </si>
  <si>
    <t>Indtægt total (m. moms)</t>
  </si>
  <si>
    <t>Indtægt total (u. moms)</t>
  </si>
  <si>
    <t>Mandetimer pr enhed/år</t>
  </si>
  <si>
    <t>Mandetimer total</t>
  </si>
  <si>
    <t>Resultat pr produkt (u. moms)</t>
  </si>
  <si>
    <t>Timesats pr produkt</t>
  </si>
  <si>
    <t>Årstal</t>
  </si>
  <si>
    <t>Kyllinger</t>
  </si>
  <si>
    <t>Indtægt</t>
  </si>
  <si>
    <t>Variabel</t>
  </si>
  <si>
    <t>Stk</t>
  </si>
  <si>
    <t>Æg</t>
  </si>
  <si>
    <t>Kvæg</t>
  </si>
  <si>
    <t>Jordbær</t>
  </si>
  <si>
    <t>kg</t>
  </si>
  <si>
    <t>Kartofler</t>
  </si>
  <si>
    <t>Enheder fordelt på antal mdr</t>
  </si>
  <si>
    <t>Udgift pr mdr (m. moms)</t>
  </si>
  <si>
    <t>Udgift pr mdr (u. moms)</t>
  </si>
  <si>
    <t>Udgift pr år (m. moms)</t>
  </si>
  <si>
    <t>Udgift pr år (u. moms)</t>
  </si>
  <si>
    <t>El til hegn (Høns)</t>
  </si>
  <si>
    <t>Kapacitet</t>
  </si>
  <si>
    <t>kWh</t>
  </si>
  <si>
    <t>El til hegn (Kvæg)</t>
  </si>
  <si>
    <t>El til 2 varmelamper (Kyllinger)</t>
  </si>
  <si>
    <t>Administrativt (Dinero og erhvervskonto)</t>
  </si>
  <si>
    <t>Generelt</t>
  </si>
  <si>
    <t>Hjemmeside og webshop</t>
  </si>
  <si>
    <t>Forsikringer</t>
  </si>
  <si>
    <t>Veterinær og medicin (Årsrapport)</t>
  </si>
  <si>
    <t>Foder til kyllinger (Hele perioden)</t>
  </si>
  <si>
    <t>Årligt forbrug/kylling</t>
  </si>
  <si>
    <t>Foder til høns (Gule foderærter og østers)</t>
  </si>
  <si>
    <t>Årligt forbrug/høne</t>
  </si>
  <si>
    <t>Strøelse til kyllinger (Spåner de første 2 uger)</t>
  </si>
  <si>
    <t>Strøelse til høns (Sand og eget halm)</t>
  </si>
  <si>
    <t>Slagt af kvæg</t>
  </si>
  <si>
    <t>Foder til kvæg (Inden slagt)</t>
  </si>
  <si>
    <t>Foder til kvæg (Efter slagt)</t>
  </si>
  <si>
    <t>Halm til jordbær</t>
  </si>
  <si>
    <t>Emballage til jordbær</t>
  </si>
  <si>
    <t>Emballage til kartofler</t>
  </si>
  <si>
    <t>Emballage til æg</t>
  </si>
  <si>
    <t>Indkøb af læggekartofler</t>
  </si>
  <si>
    <t>Diesel + indkøb af korn (Såsæd)</t>
  </si>
  <si>
    <t>ha</t>
  </si>
  <si>
    <t>Diesel + indkøb af honningurt (Såsæd)</t>
  </si>
  <si>
    <t>Indtægt/ Udgift pr mdr (m. moms)</t>
  </si>
  <si>
    <t>Indtægt/ Udgift pr mdr (u. moms)</t>
  </si>
  <si>
    <t>Indkøb af blåbærbuske</t>
  </si>
  <si>
    <t>Udgift</t>
  </si>
  <si>
    <t>Etablering</t>
  </si>
  <si>
    <t>Blåbær</t>
  </si>
  <si>
    <t>Indkøb af hindbærbuske</t>
  </si>
  <si>
    <t>Hindbær</t>
  </si>
  <si>
    <t>Indkøb af kirsebærtræer</t>
  </si>
  <si>
    <t>Kirsebær</t>
  </si>
  <si>
    <t>Indkøb af jordbærplanter</t>
  </si>
  <si>
    <t>Indkøb af Galloway</t>
  </si>
  <si>
    <t>Indkøb af rendegraver</t>
  </si>
  <si>
    <t>Hønsehus</t>
  </si>
  <si>
    <t>Lokale til ægpakkeri</t>
  </si>
  <si>
    <t>Udekøkken til håndtering af frugt og grønt</t>
  </si>
  <si>
    <t>Rugemaskine</t>
  </si>
  <si>
    <t>Køleskab til æg</t>
  </si>
  <si>
    <t>Frysere</t>
  </si>
  <si>
    <t>Vejbod - Materialer</t>
  </si>
  <si>
    <t>Kontorartikler og emballage</t>
  </si>
  <si>
    <t>Hegnsmateriale (Kvæg)</t>
  </si>
  <si>
    <t>Hegnsmateriale (Høns)</t>
  </si>
  <si>
    <t>LIKVIDITETSBUDGET</t>
  </si>
  <si>
    <t>Skabelonen til likviditetsbudgettet er fra Dinero Regnskabsprogram</t>
  </si>
  <si>
    <t>Januar</t>
  </si>
  <si>
    <t>Februar</t>
  </si>
  <si>
    <t>Marts</t>
  </si>
  <si>
    <t>April</t>
  </si>
  <si>
    <t>maj</t>
  </si>
  <si>
    <t>Juni</t>
  </si>
  <si>
    <t>Juli</t>
  </si>
  <si>
    <t>August</t>
  </si>
  <si>
    <t>September</t>
  </si>
  <si>
    <t>Oktober</t>
  </si>
  <si>
    <t>November</t>
  </si>
  <si>
    <t>December</t>
  </si>
  <si>
    <t>I alt</t>
  </si>
  <si>
    <t>Likvider midler primo</t>
  </si>
  <si>
    <t>Indbetalinger - incl. moms</t>
  </si>
  <si>
    <t>Kontant varesalg</t>
  </si>
  <si>
    <t>Indbetalinger i alt:</t>
  </si>
  <si>
    <t>Udbetalinger - incl. moms</t>
  </si>
  <si>
    <t>Moms at betale</t>
  </si>
  <si>
    <t>Hævet privat</t>
  </si>
  <si>
    <t>Variable omkostninger</t>
  </si>
  <si>
    <t>Kapacitetsomkostninger</t>
  </si>
  <si>
    <t>Etableringsomkostninger</t>
  </si>
  <si>
    <t>Udbetalinger i alt</t>
  </si>
  <si>
    <t>Ændring</t>
  </si>
  <si>
    <t>Kontanter i kassen</t>
  </si>
  <si>
    <t>Likvider i bank</t>
  </si>
  <si>
    <t>Disponibel kassekredit</t>
  </si>
  <si>
    <t>Minus likvide midler primo</t>
  </si>
  <si>
    <t>Kassekredit ultimo</t>
  </si>
  <si>
    <t>DRIFTSBUDGET (u. moms)</t>
  </si>
  <si>
    <t>Skabelonen til driftsbudgettet er fra Dinero Regnskabsprogram</t>
  </si>
  <si>
    <t>2026</t>
  </si>
  <si>
    <t>Maj</t>
  </si>
  <si>
    <t>Nettoomsætning (u. moms):</t>
  </si>
  <si>
    <t>Omsætning i alt:</t>
  </si>
  <si>
    <t>Variable omkostninger (u. moms):</t>
  </si>
  <si>
    <t>Foder til høns (Gule foderærter)</t>
  </si>
  <si>
    <t>Strøelse til kyllinger (Spåner)</t>
  </si>
  <si>
    <t>Strøelse til store kyllinger (Halm)</t>
  </si>
  <si>
    <t>Strøelse til høns (Halm)</t>
  </si>
  <si>
    <t>Variable omkostninger i alt:</t>
  </si>
  <si>
    <t>Dækningsbidrag: (Nettoomsætning - variable omkostninger)</t>
  </si>
  <si>
    <t>Kapacitetsomkostninger (faste - u. moms)</t>
  </si>
  <si>
    <t>Fasteomkostninger i alt:</t>
  </si>
  <si>
    <t>Resultat før renter og afskrivninger (Dækningsbidrag - faste omkostninger)</t>
  </si>
  <si>
    <t>Renter:</t>
  </si>
  <si>
    <t>Renter af banklån og kassekredit</t>
  </si>
  <si>
    <t>Andre renter</t>
  </si>
  <si>
    <t>Renter i alt:</t>
  </si>
  <si>
    <t>Afskrivninger:</t>
  </si>
  <si>
    <t>Hæve/sænke-fod til computerskærme</t>
  </si>
  <si>
    <t>Kontorartikler</t>
  </si>
  <si>
    <t>Afskrivninger i alt:</t>
  </si>
  <si>
    <t>Faste omkostninger, renter og afskrivninger i alt:</t>
  </si>
  <si>
    <t>Nettooverskud (Dækningsbidrag - faste omkostninger, renter og afskrivninger):</t>
  </si>
  <si>
    <t xml:space="preserve">
Formidler</t>
  </si>
  <si>
    <t>Post</t>
  </si>
  <si>
    <t>Alexander</t>
  </si>
  <si>
    <t>Belæg</t>
  </si>
  <si>
    <t>Mette</t>
  </si>
  <si>
    <t>A-kasse</t>
  </si>
  <si>
    <t>A-kassen A&amp;til</t>
  </si>
  <si>
    <t>Ingen da jeg ikke skal have dagpenge eller barselsdagpenge fremadrettet</t>
  </si>
  <si>
    <t>Det faglige hus</t>
  </si>
  <si>
    <t>IDA (På nuværende tidspunkt som "ledig")</t>
  </si>
  <si>
    <t>Indbo og ansvar</t>
  </si>
  <si>
    <t>Knallert</t>
  </si>
  <si>
    <t>Hus</t>
  </si>
  <si>
    <t>Hund</t>
  </si>
  <si>
    <t>Hobbylandbrug</t>
  </si>
  <si>
    <t>Dækker ikke den erhvervsdrivende del - denne skal slettes og erstattes af en erhvervslandbrugsforsikring kombineret med indbo og hus. Dine maskiner, foderlagre, køleanlæg og afgrøder overstiger hurtigt beløbsgrænsen for hobbybrug.</t>
  </si>
  <si>
    <t>Landbrugsansvar</t>
  </si>
  <si>
    <t>Skal ændres til erhvervslandbrugsansvar - ellers dækker den ikke</t>
  </si>
  <si>
    <t>Chevrolet</t>
  </si>
  <si>
    <t>Skoda</t>
  </si>
  <si>
    <t>Dækker, hvis I kommer ud for en ulykke, der giver varigt mén (f.eks. hvis du kommer til skade under arbejde med motorsav i skoven eller med traktoren). Vælg en heltidsulykkesforsikring. Da du er selvstændig, dækker en almindelig fritidsulykkesforsikring dig ikke, mens du arbejder i din gårdbutik eller i skoven.</t>
  </si>
  <si>
    <t>Ulykkesforsikring (Alexander)</t>
  </si>
  <si>
    <t>?</t>
  </si>
  <si>
    <t>Kritisk sygdom</t>
  </si>
  <si>
    <t>150.000kr. En forsikring, der udbetaler et skattefrit engangsbeløb (typisk mellem 100.000 og 300.000 kr.) med det samme, hvis en af jer diagnosticeres med en livstruende sygdom (f.eks. kræft, blodprop eller hjerteanfald). Pengene giver ro til, at din mand kan tage orlov for at passe dig, eller til at betale for ekstra hjælp til skovdriften og gårdbutikken i en svær periode.</t>
  </si>
  <si>
    <t>Kritisk sygdom af børn</t>
  </si>
  <si>
    <t>100.000kr hvis hun får stillet diagnose under vis alder.</t>
  </si>
  <si>
    <t>Bank</t>
  </si>
  <si>
    <t>Livsforsikring (Krydslivsforsikring)</t>
  </si>
  <si>
    <t>2.122.000kr (860.000 kr til nærmest pårørende, hvis ikke andet aftalt + 825.000kr til nærmeste pårørende + 362.000kr + 75.000 til ægtefælle) Krydslivsforsikring betyder, at du ejer og betaler for forsikringen på din mands liv, og han ejer din. Derved undgår I, at udbetalingen modregnes i boafgift</t>
  </si>
  <si>
    <t>Tab af erhvervsevne (Udefineret på konto "Kundeforsikring - Lån og kredit")</t>
  </si>
  <si>
    <t>Vigtigt da han er vores faste indkomst</t>
  </si>
  <si>
    <t>355.000kr om året indtil jeg er 70. Vigtigt da det er vores plan B (At jeg kan tjene en ingeniørløn, hvis andet går galt). Jeg skal oprette mig som civilingeniør.</t>
  </si>
  <si>
    <t>Sundhedsforsikring (Udefineret på konto "Forsikr.præmie")</t>
  </si>
  <si>
    <t>Ulykkesforsikring (Mette)</t>
  </si>
  <si>
    <t>Erhvervslandbrugsforsikring</t>
  </si>
  <si>
    <t>1. Ansvar og produktansvar (Kritisk)Produktansvar: Dækker, hvis der er salmonella i dine æg, eller hvis dine kartofler/jordbær gør forbrugere syge.Erhvervsansvar: Dækker, hvis dine 5 kødkvæg bryder gennem hegnet og forårsager et trafikuheld, eller hvis en kunde kommer til skade på din gårdbutik.2. Dyr og besætningBesætningsforsikring: Dækker tab, hvis dine kødkvæg eller høns dør ved brand, el-svigt (f.eks. i ventilationsanlæg) eller akut sygdom.Salmonellaforsikring: Dækker driftstab og sanering, hvis dine 150 høns rammes af salmonella.3. Afgrøder og maskinerAfgrødedækning: Dækker dine kartofler og jordbær under opbevaring (f.eks. mod brand eller svigt i kølerum).Driftsherredømme: Dækker specialmaskiner til kartoffel- eller jordbærdyrkning samt traktor mod tyveri og kasko.4. Bygninger og driftstabUdvidet bygningsbrand: Stalden til hønsene og faciliteter til kvæget skal være godkendt til erhverv.Driftstab: Sikrer dig indkomst, hvis en brand midt i jordbærsæsonen ødelægger din mulighed for at sortere og sælge dine varer.</t>
  </si>
  <si>
    <t>Privat ulykkesforsikring (Hverdagsdækning for Mette)</t>
  </si>
  <si>
    <t>Kaskoforsikring på maskiner (Rendegraver, traktor, havetraktor)</t>
  </si>
  <si>
    <t>Erhvervs- og produktansvar (Gårdbutik)</t>
  </si>
  <si>
    <t>Når du åbner gårdbutik, er du ansvarlig for de varer, du sælger. Hvis en kunde f.eks. bliver syg af fødevarer eller falder på glat gulv, dækker denne forsikring erstatningskrav</t>
  </si>
  <si>
    <t>Løsøreforsikring (Gårdbutik)</t>
  </si>
  <si>
    <t xml:space="preserve"> Sikrer varelager, butiksinventar og maskiner mod brand og tyveri</t>
  </si>
  <si>
    <t>Erhvervsulykkesforsikring</t>
  </si>
  <si>
    <t>Arbejdsskadeforsikring for indehaver og ansatte (Eller medhjælpere)</t>
  </si>
  <si>
    <t>Afgrødeforsikring</t>
  </si>
  <si>
    <t>Besætningsforsikring (Køer og høns)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</si>
</sst>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_-;\-* #,##0_-;_-* &quot;-&quot;??_-;_-@_-"/>
    <numFmt numFmtId="177" formatCode="s\t\a\nd\a\rd"/>
    <numFmt numFmtId="178" formatCode="dd/mm"/>
    <numFmt numFmtId="179" formatCode="d&quot;-&quot;mmm"/>
    <numFmt numFmtId="180" formatCode="dd/mm/yyyy;@"/>
    <numFmt numFmtId="181" formatCode="_-* #,##0.0_-;\-* #,##0.0_-;_-* &quot;-&quot;??_-;_-@_-"/>
    <numFmt numFmtId="182" formatCode="_-* #,##0.0_-;\-* #,##0.0_-;_-* &quot;-&quot;??.0_-;_-@_-"/>
    <numFmt numFmtId="183" formatCode="0_ "/>
    <numFmt numFmtId="184" formatCode="0.00_ "/>
    <numFmt numFmtId="185" formatCode="0.0_ "/>
  </numFmts>
  <fonts count="48">
    <font>
      <sz val="10"/>
      <color indexed="8"/>
      <name val="Arial"/>
      <charset val="134"/>
    </font>
    <font>
      <sz val="10"/>
      <name val="Arial"/>
      <charset val="134"/>
    </font>
    <font>
      <sz val="10"/>
      <color rgb="FFFF0000"/>
      <name val="Arial"/>
      <charset val="134"/>
    </font>
    <font>
      <sz val="10"/>
      <color rgb="FFC0C0C0"/>
      <name val="Helvetica Neue"/>
      <charset val="134"/>
      <scheme val="minor"/>
    </font>
    <font>
      <sz val="10"/>
      <color theme="1"/>
      <name val="Helvetica Neue"/>
      <charset val="134"/>
      <scheme val="minor"/>
    </font>
    <font>
      <sz val="11"/>
      <color theme="1"/>
      <name val="Helvetica Neue"/>
      <charset val="134"/>
      <scheme val="minor"/>
    </font>
    <font>
      <b/>
      <sz val="18"/>
      <color theme="1"/>
      <name val="Helvetica Neue"/>
      <charset val="134"/>
      <scheme val="major"/>
    </font>
    <font>
      <sz val="12"/>
      <name val="Helvetica Neue"/>
      <charset val="134"/>
      <scheme val="minor"/>
    </font>
    <font>
      <b/>
      <sz val="12"/>
      <color theme="0"/>
      <name val="Helvetica Neue"/>
      <charset val="134"/>
      <scheme val="minor"/>
    </font>
    <font>
      <sz val="12"/>
      <color theme="1"/>
      <name val="Helvetica Neue"/>
      <charset val="134"/>
      <scheme val="minor"/>
    </font>
    <font>
      <b/>
      <sz val="12"/>
      <color theme="0"/>
      <name val="Helvetica Neue"/>
      <charset val="134"/>
      <scheme val="major"/>
    </font>
    <font>
      <sz val="12"/>
      <color theme="0"/>
      <name val="Helvetica Neue"/>
      <charset val="134"/>
      <scheme val="minor"/>
    </font>
    <font>
      <b/>
      <sz val="12"/>
      <color theme="1"/>
      <name val="Helvetica Neue"/>
      <charset val="134"/>
      <scheme val="minor"/>
    </font>
    <font>
      <b/>
      <sz val="12"/>
      <name val="Helvetica Neue"/>
      <charset val="134"/>
      <scheme val="minor"/>
    </font>
    <font>
      <sz val="10"/>
      <name val="Helvetica Neue"/>
      <charset val="134"/>
      <scheme val="minor"/>
    </font>
    <font>
      <sz val="12"/>
      <color rgb="FFFF0000"/>
      <name val="Helvetica Neue"/>
      <charset val="134"/>
      <scheme val="minor"/>
    </font>
    <font>
      <sz val="10"/>
      <color indexed="8"/>
      <name val="Helvetica Neue"/>
      <charset val="134"/>
      <scheme val="major"/>
    </font>
    <font>
      <sz val="12"/>
      <color indexed="8"/>
      <name val="Helvetica Neue"/>
      <charset val="134"/>
      <scheme val="major"/>
    </font>
    <font>
      <sz val="11"/>
      <color indexed="8"/>
      <name val="Helvetica Neue"/>
      <charset val="134"/>
      <scheme val="major"/>
    </font>
    <font>
      <b/>
      <sz val="12"/>
      <color indexed="10"/>
      <name val="Helvetica Neue"/>
      <charset val="134"/>
      <scheme val="major"/>
    </font>
    <font>
      <b/>
      <sz val="18"/>
      <color indexed="8"/>
      <name val="Helvetica Neue"/>
      <charset val="134"/>
      <scheme val="major"/>
    </font>
    <font>
      <sz val="12"/>
      <color indexed="11"/>
      <name val="Helvetica Neue"/>
      <charset val="134"/>
      <scheme val="major"/>
    </font>
    <font>
      <b/>
      <sz val="12"/>
      <color indexed="11"/>
      <name val="Helvetica Neue"/>
      <charset val="134"/>
      <scheme val="major"/>
    </font>
    <font>
      <b/>
      <sz val="12"/>
      <color indexed="8"/>
      <name val="Helvetica Neue"/>
      <charset val="134"/>
      <scheme val="major"/>
    </font>
    <font>
      <sz val="12"/>
      <color rgb="FFFF0000"/>
      <name val="Helvetica Neue"/>
      <charset val="134"/>
      <scheme val="major"/>
    </font>
    <font>
      <b/>
      <sz val="10"/>
      <color indexed="8"/>
      <name val="Arial"/>
      <charset val="134"/>
    </font>
    <font>
      <b/>
      <sz val="10"/>
      <name val="Arial"/>
      <charset val="134"/>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b/>
      <sz val="9"/>
      <name val="Times New Roman"/>
      <charset val="0"/>
    </font>
    <font>
      <sz val="9"/>
      <name val="Times New Roman"/>
      <charset val="0"/>
    </font>
  </fonts>
  <fills count="48">
    <fill>
      <patternFill patternType="none"/>
    </fill>
    <fill>
      <patternFill patternType="gray125"/>
    </fill>
    <fill>
      <patternFill patternType="solid">
        <fgColor rgb="FFFFFFFF"/>
        <bgColor rgb="FFFFFFFF"/>
      </patternFill>
    </fill>
    <fill>
      <patternFill patternType="solid">
        <fgColor rgb="FFFFFF00"/>
        <bgColor rgb="FF3CA5DC"/>
      </patternFill>
    </fill>
    <fill>
      <patternFill patternType="solid">
        <fgColor rgb="FF3CA5DC"/>
        <bgColor rgb="FF3CA5DC"/>
      </patternFill>
    </fill>
    <fill>
      <patternFill patternType="solid">
        <fgColor rgb="FF3CA5DC"/>
        <bgColor rgb="FFC3D2DC"/>
      </patternFill>
    </fill>
    <fill>
      <patternFill patternType="solid">
        <fgColor rgb="FFEBEBEB"/>
        <bgColor rgb="FFEBEBEB"/>
      </patternFill>
    </fill>
    <fill>
      <patternFill patternType="solid">
        <fgColor rgb="FFFFFF00"/>
        <bgColor rgb="FFEBEBEB"/>
      </patternFill>
    </fill>
    <fill>
      <patternFill patternType="solid">
        <fgColor rgb="FFEBEBEB"/>
        <bgColor indexed="64"/>
      </patternFill>
    </fill>
    <fill>
      <patternFill patternType="solid">
        <fgColor rgb="FF006EDC"/>
        <bgColor rgb="FF3CA5DC"/>
      </patternFill>
    </fill>
    <fill>
      <patternFill patternType="solid">
        <fgColor rgb="FF006EDC"/>
        <bgColor rgb="FFC3D2DC"/>
      </patternFill>
    </fill>
    <fill>
      <patternFill patternType="solid">
        <fgColor indexed="12"/>
        <bgColor indexed="64"/>
      </patternFill>
    </fill>
    <fill>
      <patternFill patternType="solid">
        <fgColor rgb="FFFFFF00"/>
        <bgColor indexed="64"/>
      </patternFill>
    </fill>
    <fill>
      <patternFill patternType="solid">
        <fgColor indexed="13"/>
        <bgColor indexed="64"/>
      </patternFill>
    </fill>
    <fill>
      <patternFill patternType="solid">
        <fgColor theme="0"/>
        <bgColor indexed="64"/>
      </patternFill>
    </fill>
    <fill>
      <patternFill patternType="solid">
        <fgColor theme="9"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right/>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auto="1"/>
      </left>
      <right style="medium">
        <color auto="1"/>
      </right>
      <top style="medium">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style="medium">
        <color auto="1"/>
      </right>
      <top style="thin">
        <color rgb="FF000000"/>
      </top>
      <bottom style="thin">
        <color rgb="FF000000"/>
      </bottom>
      <diagonal/>
    </border>
    <border>
      <left style="medium">
        <color auto="1"/>
      </left>
      <right style="medium">
        <color auto="1"/>
      </right>
      <top style="thin">
        <color rgb="FF000000"/>
      </top>
      <bottom style="medium">
        <color auto="1"/>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style="thin">
        <color indexed="9"/>
      </right>
      <top/>
      <bottom/>
      <diagonal/>
    </border>
    <border>
      <left style="thin">
        <color indexed="9"/>
      </left>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auto="1"/>
      </left>
      <right style="medium">
        <color auto="1"/>
      </right>
      <top style="medium">
        <color auto="1"/>
      </top>
      <bottom style="thin">
        <color indexed="8"/>
      </bottom>
      <diagonal/>
    </border>
    <border>
      <left style="medium">
        <color auto="1"/>
      </left>
      <right style="medium">
        <color auto="1"/>
      </right>
      <top style="thin">
        <color indexed="8"/>
      </top>
      <bottom style="thin">
        <color indexed="8"/>
      </bottom>
      <diagonal/>
    </border>
    <border>
      <left style="medium">
        <color auto="1"/>
      </left>
      <right style="medium">
        <color auto="1"/>
      </right>
      <top style="thin">
        <color indexed="8"/>
      </top>
      <bottom style="medium">
        <color auto="1"/>
      </bottom>
      <diagonal/>
    </border>
    <border>
      <left style="thin">
        <color indexed="9"/>
      </left>
      <right/>
      <top style="thin">
        <color indexed="8"/>
      </top>
      <bottom/>
      <diagonal/>
    </border>
    <border>
      <left/>
      <right/>
      <top style="thin">
        <color indexed="8"/>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5" fillId="17" borderId="27"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8" applyNumberFormat="0" applyFill="0" applyAlignment="0" applyProtection="0">
      <alignment vertical="center"/>
    </xf>
    <xf numFmtId="0" fontId="33" fillId="0" borderId="28" applyNumberFormat="0" applyFill="0" applyAlignment="0" applyProtection="0">
      <alignment vertical="center"/>
    </xf>
    <xf numFmtId="0" fontId="34" fillId="0" borderId="29" applyNumberFormat="0" applyFill="0" applyAlignment="0" applyProtection="0">
      <alignment vertical="center"/>
    </xf>
    <xf numFmtId="0" fontId="34" fillId="0" borderId="0" applyNumberFormat="0" applyFill="0" applyBorder="0" applyAlignment="0" applyProtection="0">
      <alignment vertical="center"/>
    </xf>
    <xf numFmtId="0" fontId="35" fillId="18" borderId="30" applyNumberFormat="0" applyAlignment="0" applyProtection="0">
      <alignment vertical="center"/>
    </xf>
    <xf numFmtId="0" fontId="36" fillId="19" borderId="31" applyNumberFormat="0" applyAlignment="0" applyProtection="0">
      <alignment vertical="center"/>
    </xf>
    <xf numFmtId="0" fontId="37" fillId="19" borderId="30" applyNumberFormat="0" applyAlignment="0" applyProtection="0">
      <alignment vertical="center"/>
    </xf>
    <xf numFmtId="0" fontId="38" fillId="20" borderId="32" applyNumberFormat="0" applyAlignment="0" applyProtection="0">
      <alignment vertical="center"/>
    </xf>
    <xf numFmtId="0" fontId="39" fillId="0" borderId="33" applyNumberFormat="0" applyFill="0" applyAlignment="0" applyProtection="0">
      <alignment vertical="center"/>
    </xf>
    <xf numFmtId="0" fontId="40" fillId="0" borderId="34" applyNumberFormat="0" applyFill="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5" fillId="45" borderId="0" applyNumberFormat="0" applyBorder="0" applyAlignment="0" applyProtection="0">
      <alignment vertical="center"/>
    </xf>
    <xf numFmtId="0" fontId="45" fillId="46" borderId="0" applyNumberFormat="0" applyBorder="0" applyAlignment="0" applyProtection="0">
      <alignment vertical="center"/>
    </xf>
    <xf numFmtId="0" fontId="44" fillId="47" borderId="0" applyNumberFormat="0" applyBorder="0" applyAlignment="0" applyProtection="0">
      <alignment vertical="center"/>
    </xf>
  </cellStyleXfs>
  <cellXfs count="180">
    <xf numFmtId="0" fontId="0" fillId="0" borderId="0" xfId="0" applyFont="1" applyAlignment="1"/>
    <xf numFmtId="0" fontId="0" fillId="0" borderId="0" xfId="0" applyFont="1" applyAlignment="1">
      <alignment wrapText="1"/>
    </xf>
    <xf numFmtId="0" fontId="1" fillId="0" borderId="0" xfId="0" applyFont="1" applyBorder="1" applyAlignment="1">
      <alignment wrapText="1" readingOrder="1"/>
    </xf>
    <xf numFmtId="0" fontId="1" fillId="0" borderId="0" xfId="0" applyFont="1" applyAlignment="1"/>
    <xf numFmtId="176" fontId="1" fillId="0" borderId="0" xfId="1" applyNumberFormat="1" applyFont="1" applyAlignment="1">
      <alignment readingOrder="1"/>
    </xf>
    <xf numFmtId="176" fontId="2" fillId="0" borderId="0" xfId="1" applyNumberFormat="1" applyFont="1" applyAlignment="1">
      <alignment readingOrder="1"/>
    </xf>
    <xf numFmtId="0" fontId="2" fillId="0" borderId="0" xfId="0" applyFont="1" applyBorder="1" applyAlignment="1">
      <alignment wrapText="1" readingOrder="1"/>
    </xf>
    <xf numFmtId="0" fontId="2" fillId="0" borderId="0" xfId="0" applyFont="1" applyAlignment="1">
      <alignment wrapText="1"/>
    </xf>
    <xf numFmtId="0" fontId="1" fillId="0" borderId="0" xfId="0" applyFont="1" applyAlignment="1">
      <alignment wrapText="1" readingOrder="1"/>
    </xf>
    <xf numFmtId="0" fontId="0" fillId="0" borderId="0" xfId="0"/>
    <xf numFmtId="0" fontId="2" fillId="0" borderId="0" xfId="0" applyFont="1" applyAlignment="1"/>
    <xf numFmtId="177" fontId="3" fillId="0" borderId="0" xfId="0" applyNumberFormat="1" applyFont="1" applyFill="1" applyBorder="1" applyAlignment="1" applyProtection="1"/>
    <xf numFmtId="177" fontId="3" fillId="0" borderId="0" xfId="0" applyNumberFormat="1" applyFont="1" applyFill="1" applyBorder="1" applyAlignment="1" applyProtection="1">
      <alignment horizontal="center"/>
    </xf>
    <xf numFmtId="3" fontId="4" fillId="2" borderId="0" xfId="0" applyNumberFormat="1" applyFont="1" applyFill="1" applyBorder="1" applyAlignment="1" applyProtection="1"/>
    <xf numFmtId="3" fontId="4" fillId="2" borderId="0" xfId="0" applyNumberFormat="1" applyFont="1" applyFill="1" applyBorder="1" applyAlignment="1" applyProtection="1">
      <alignment horizontal="center"/>
    </xf>
    <xf numFmtId="0" fontId="5" fillId="0" borderId="0" xfId="0" applyNumberFormat="1" applyFont="1" applyFill="1" applyBorder="1" applyAlignment="1" applyProtection="1">
      <alignment horizontal="center"/>
    </xf>
    <xf numFmtId="3" fontId="6" fillId="2" borderId="0" xfId="0" applyNumberFormat="1" applyFont="1" applyFill="1" applyBorder="1" applyAlignment="1" applyProtection="1">
      <alignment horizontal="left" vertical="center"/>
    </xf>
    <xf numFmtId="0" fontId="5" fillId="0" borderId="1" xfId="0" applyNumberFormat="1" applyFont="1" applyFill="1" applyBorder="1" applyAlignment="1" applyProtection="1">
      <alignment horizontal="center" vertical="center"/>
    </xf>
    <xf numFmtId="0" fontId="5" fillId="0" borderId="0" xfId="0" applyNumberFormat="1" applyFont="1" applyFill="1" applyBorder="1" applyAlignment="1" applyProtection="1">
      <alignment horizontal="center" vertical="center"/>
    </xf>
    <xf numFmtId="49" fontId="7" fillId="3" borderId="2" xfId="0" applyNumberFormat="1" applyFont="1" applyFill="1" applyBorder="1" applyAlignment="1" applyProtection="1"/>
    <xf numFmtId="3" fontId="8" fillId="4" borderId="2" xfId="0" applyNumberFormat="1" applyFont="1" applyFill="1" applyBorder="1" applyAlignment="1" applyProtection="1">
      <alignment horizontal="center"/>
    </xf>
    <xf numFmtId="3" fontId="8" fillId="4" borderId="3" xfId="0" applyNumberFormat="1" applyFont="1" applyFill="1" applyBorder="1" applyAlignment="1" applyProtection="1">
      <alignment horizontal="center"/>
    </xf>
    <xf numFmtId="3" fontId="8" fillId="5" borderId="4" xfId="0" applyNumberFormat="1" applyFont="1" applyFill="1" applyBorder="1" applyAlignment="1" applyProtection="1">
      <alignment horizontal="center"/>
    </xf>
    <xf numFmtId="3" fontId="9" fillId="2" borderId="5" xfId="0" applyNumberFormat="1" applyFont="1" applyFill="1" applyBorder="1" applyAlignment="1" applyProtection="1"/>
    <xf numFmtId="3" fontId="9" fillId="2" borderId="6" xfId="0" applyNumberFormat="1" applyFont="1" applyFill="1" applyBorder="1" applyAlignment="1" applyProtection="1"/>
    <xf numFmtId="3" fontId="7" fillId="0" borderId="7" xfId="0" applyNumberFormat="1" applyFont="1" applyFill="1" applyBorder="1" applyAlignment="1" applyProtection="1"/>
    <xf numFmtId="49" fontId="10" fillId="4" borderId="5" xfId="0" applyNumberFormat="1" applyFont="1" applyFill="1" applyBorder="1" applyAlignment="1" applyProtection="1">
      <alignment horizontal="left"/>
    </xf>
    <xf numFmtId="3" fontId="11" fillId="4" borderId="5" xfId="0" applyNumberFormat="1" applyFont="1" applyFill="1" applyBorder="1" applyAlignment="1" applyProtection="1"/>
    <xf numFmtId="3" fontId="11" fillId="4" borderId="6" xfId="0" applyNumberFormat="1" applyFont="1" applyFill="1" applyBorder="1" applyAlignment="1" applyProtection="1"/>
    <xf numFmtId="3" fontId="7" fillId="5" borderId="7" xfId="0" applyNumberFormat="1" applyFont="1" applyFill="1" applyBorder="1" applyAlignment="1" applyProtection="1"/>
    <xf numFmtId="3" fontId="7" fillId="6" borderId="5" xfId="0" applyNumberFormat="1" applyFont="1" applyFill="1" applyBorder="1" applyAlignment="1" applyProtection="1"/>
    <xf numFmtId="3" fontId="7" fillId="6" borderId="6" xfId="0" applyNumberFormat="1" applyFont="1" applyFill="1" applyBorder="1" applyAlignment="1" applyProtection="1"/>
    <xf numFmtId="3" fontId="7" fillId="6" borderId="7" xfId="0" applyNumberFormat="1" applyFont="1" applyFill="1" applyBorder="1" applyAlignment="1" applyProtection="1"/>
    <xf numFmtId="3" fontId="7" fillId="2" borderId="5" xfId="0" applyNumberFormat="1" applyFont="1" applyFill="1" applyBorder="1" applyAlignment="1" applyProtection="1"/>
    <xf numFmtId="3" fontId="7" fillId="2" borderId="6" xfId="0" applyNumberFormat="1" applyFont="1" applyFill="1" applyBorder="1" applyAlignment="1" applyProtection="1"/>
    <xf numFmtId="3" fontId="7" fillId="2" borderId="7" xfId="0" applyNumberFormat="1" applyFont="1" applyFill="1" applyBorder="1" applyAlignment="1" applyProtection="1"/>
    <xf numFmtId="3" fontId="12" fillId="2" borderId="5" xfId="0" applyNumberFormat="1" applyFont="1" applyFill="1" applyBorder="1" applyAlignment="1" applyProtection="1"/>
    <xf numFmtId="3" fontId="12" fillId="2" borderId="6" xfId="0" applyNumberFormat="1" applyFont="1" applyFill="1" applyBorder="1" applyAlignment="1" applyProtection="1"/>
    <xf numFmtId="3" fontId="12" fillId="2" borderId="7" xfId="0" applyNumberFormat="1" applyFont="1" applyFill="1" applyBorder="1" applyAlignment="1" applyProtection="1"/>
    <xf numFmtId="3" fontId="10" fillId="4" borderId="5" xfId="0" applyNumberFormat="1" applyFont="1" applyFill="1" applyBorder="1" applyAlignment="1" applyProtection="1"/>
    <xf numFmtId="3" fontId="13" fillId="0" borderId="7" xfId="0" applyNumberFormat="1" applyFont="1" applyFill="1" applyBorder="1" applyAlignment="1" applyProtection="1"/>
    <xf numFmtId="3" fontId="13" fillId="2" borderId="5" xfId="0" applyNumberFormat="1" applyFont="1" applyFill="1" applyBorder="1" applyAlignment="1" applyProtection="1"/>
    <xf numFmtId="3" fontId="13" fillId="2" borderId="6" xfId="0" applyNumberFormat="1" applyFont="1" applyFill="1" applyBorder="1" applyAlignment="1" applyProtection="1"/>
    <xf numFmtId="3" fontId="14" fillId="2" borderId="0" xfId="0" applyNumberFormat="1" applyFont="1" applyFill="1" applyBorder="1" applyAlignment="1" applyProtection="1"/>
    <xf numFmtId="3" fontId="12" fillId="0" borderId="7" xfId="0" applyNumberFormat="1" applyFont="1" applyFill="1" applyBorder="1" applyAlignment="1" applyProtection="1"/>
    <xf numFmtId="3" fontId="7" fillId="7" borderId="5" xfId="0" applyNumberFormat="1" applyFont="1" applyFill="1" applyBorder="1" applyAlignment="1" applyProtection="1"/>
    <xf numFmtId="3" fontId="7" fillId="7" borderId="6" xfId="0" applyNumberFormat="1" applyFont="1" applyFill="1" applyBorder="1" applyAlignment="1" applyProtection="1"/>
    <xf numFmtId="3" fontId="9" fillId="0" borderId="7" xfId="0" applyNumberFormat="1" applyFont="1" applyFill="1" applyBorder="1" applyAlignment="1" applyProtection="1"/>
    <xf numFmtId="3" fontId="9" fillId="8" borderId="7" xfId="0" applyNumberFormat="1" applyFont="1" applyFill="1" applyBorder="1" applyAlignment="1" applyProtection="1"/>
    <xf numFmtId="3" fontId="14" fillId="0" borderId="0" xfId="0" applyNumberFormat="1" applyFont="1" applyFill="1" applyBorder="1" applyAlignment="1" applyProtection="1">
      <alignment horizontal="center"/>
    </xf>
    <xf numFmtId="3" fontId="15" fillId="2" borderId="5" xfId="0" applyNumberFormat="1" applyFont="1" applyFill="1" applyBorder="1" applyAlignment="1" applyProtection="1"/>
    <xf numFmtId="3" fontId="10" fillId="9" borderId="5" xfId="0" applyNumberFormat="1" applyFont="1" applyFill="1" applyBorder="1" applyAlignment="1" applyProtection="1"/>
    <xf numFmtId="3" fontId="8" fillId="9" borderId="5" xfId="0" applyNumberFormat="1" applyFont="1" applyFill="1" applyBorder="1" applyAlignment="1" applyProtection="1"/>
    <xf numFmtId="3" fontId="8" fillId="9" borderId="6" xfId="0" applyNumberFormat="1" applyFont="1" applyFill="1" applyBorder="1" applyAlignment="1" applyProtection="1"/>
    <xf numFmtId="3" fontId="8" fillId="10" borderId="8" xfId="0" applyNumberFormat="1" applyFont="1" applyFill="1" applyBorder="1" applyAlignment="1" applyProtection="1"/>
    <xf numFmtId="0" fontId="16" fillId="0" borderId="0" xfId="0" applyNumberFormat="1" applyFont="1" applyAlignment="1"/>
    <xf numFmtId="3" fontId="17" fillId="0" borderId="9" xfId="0" applyNumberFormat="1" applyFont="1" applyBorder="1" applyAlignment="1"/>
    <xf numFmtId="3" fontId="17" fillId="0" borderId="10" xfId="0" applyNumberFormat="1" applyFont="1" applyBorder="1" applyAlignment="1"/>
    <xf numFmtId="3" fontId="17" fillId="0" borderId="11" xfId="0" applyNumberFormat="1" applyFont="1" applyBorder="1" applyAlignment="1"/>
    <xf numFmtId="3" fontId="17" fillId="0" borderId="12" xfId="0" applyNumberFormat="1" applyFont="1" applyBorder="1" applyAlignment="1"/>
    <xf numFmtId="3" fontId="17" fillId="0" borderId="0" xfId="0" applyNumberFormat="1" applyFont="1" applyBorder="1" applyAlignment="1"/>
    <xf numFmtId="3" fontId="17" fillId="0" borderId="13" xfId="0" applyNumberFormat="1" applyFont="1" applyBorder="1" applyAlignment="1"/>
    <xf numFmtId="178" fontId="18" fillId="0" borderId="12" xfId="0" applyNumberFormat="1" applyFont="1" applyBorder="1" applyAlignment="1">
      <alignment horizontal="center"/>
    </xf>
    <xf numFmtId="179" fontId="16" fillId="0" borderId="0" xfId="0" applyNumberFormat="1" applyFont="1" applyBorder="1" applyAlignment="1"/>
    <xf numFmtId="3" fontId="19" fillId="0" borderId="12" xfId="0" applyNumberFormat="1" applyFont="1" applyBorder="1" applyAlignment="1"/>
    <xf numFmtId="49" fontId="20" fillId="0" borderId="14" xfId="0" applyNumberFormat="1" applyFont="1" applyBorder="1" applyAlignment="1"/>
    <xf numFmtId="49" fontId="18" fillId="0" borderId="15" xfId="0" applyNumberFormat="1" applyFont="1" applyBorder="1" applyAlignment="1">
      <alignment horizontal="center"/>
    </xf>
    <xf numFmtId="179" fontId="16" fillId="0" borderId="15" xfId="0" applyNumberFormat="1" applyFont="1" applyBorder="1" applyAlignment="1"/>
    <xf numFmtId="0" fontId="21" fillId="11" borderId="16" xfId="0" applyNumberFormat="1" applyFont="1" applyFill="1" applyBorder="1" applyAlignment="1"/>
    <xf numFmtId="49" fontId="22" fillId="11" borderId="16" xfId="0" applyNumberFormat="1" applyFont="1" applyFill="1" applyBorder="1" applyAlignment="1">
      <alignment horizontal="center"/>
    </xf>
    <xf numFmtId="49" fontId="22" fillId="11" borderId="17" xfId="0" applyNumberFormat="1" applyFont="1" applyFill="1" applyBorder="1" applyAlignment="1">
      <alignment horizontal="center"/>
    </xf>
    <xf numFmtId="49" fontId="22" fillId="11" borderId="18" xfId="0" applyNumberFormat="1" applyFont="1" applyFill="1" applyBorder="1" applyAlignment="1">
      <alignment horizontal="center"/>
    </xf>
    <xf numFmtId="3" fontId="17" fillId="0" borderId="16" xfId="0" applyNumberFormat="1" applyFont="1" applyBorder="1" applyAlignment="1"/>
    <xf numFmtId="3" fontId="17" fillId="0" borderId="17" xfId="0" applyNumberFormat="1" applyFont="1" applyBorder="1" applyAlignment="1"/>
    <xf numFmtId="3" fontId="17" fillId="0" borderId="19" xfId="0" applyNumberFormat="1" applyFont="1" applyBorder="1" applyAlignment="1"/>
    <xf numFmtId="49" fontId="23" fillId="0" borderId="16" xfId="0" applyNumberFormat="1" applyFont="1" applyBorder="1" applyAlignment="1"/>
    <xf numFmtId="3" fontId="23" fillId="12" borderId="16" xfId="0" applyNumberFormat="1" applyFont="1" applyFill="1" applyBorder="1" applyAlignment="1"/>
    <xf numFmtId="3" fontId="23" fillId="0" borderId="16" xfId="0" applyNumberFormat="1" applyFont="1" applyBorder="1" applyAlignment="1"/>
    <xf numFmtId="3" fontId="23" fillId="0" borderId="17" xfId="0" applyNumberFormat="1" applyFont="1" applyBorder="1" applyAlignment="1"/>
    <xf numFmtId="3" fontId="23" fillId="0" borderId="19" xfId="0" applyNumberFormat="1" applyFont="1" applyBorder="1" applyAlignment="1"/>
    <xf numFmtId="49" fontId="22" fillId="11" borderId="16" xfId="0" applyNumberFormat="1" applyFont="1" applyFill="1" applyBorder="1" applyAlignment="1"/>
    <xf numFmtId="3" fontId="21" fillId="11" borderId="16" xfId="0" applyNumberFormat="1" applyFont="1" applyFill="1" applyBorder="1" applyAlignment="1"/>
    <xf numFmtId="3" fontId="21" fillId="11" borderId="17" xfId="0" applyNumberFormat="1" applyFont="1" applyFill="1" applyBorder="1" applyAlignment="1"/>
    <xf numFmtId="3" fontId="17" fillId="11" borderId="19" xfId="0" applyNumberFormat="1" applyFont="1" applyFill="1" applyBorder="1" applyAlignment="1"/>
    <xf numFmtId="49" fontId="17" fillId="13" borderId="16" xfId="0" applyNumberFormat="1" applyFont="1" applyFill="1" applyBorder="1" applyAlignment="1"/>
    <xf numFmtId="0" fontId="17" fillId="13" borderId="16" xfId="0" applyNumberFormat="1" applyFont="1" applyFill="1" applyBorder="1" applyAlignment="1"/>
    <xf numFmtId="176" fontId="17" fillId="13" borderId="16" xfId="1" applyNumberFormat="1" applyFont="1" applyFill="1" applyBorder="1" applyAlignment="1"/>
    <xf numFmtId="176" fontId="17" fillId="13" borderId="17" xfId="1" applyNumberFormat="1" applyFont="1" applyFill="1" applyBorder="1" applyAlignment="1"/>
    <xf numFmtId="3" fontId="22" fillId="11" borderId="16" xfId="0" applyNumberFormat="1" applyFont="1" applyFill="1" applyBorder="1" applyAlignment="1"/>
    <xf numFmtId="3" fontId="22" fillId="11" borderId="17" xfId="0" applyNumberFormat="1" applyFont="1" applyFill="1" applyBorder="1" applyAlignment="1"/>
    <xf numFmtId="3" fontId="17" fillId="13" borderId="16" xfId="0" applyNumberFormat="1" applyFont="1" applyFill="1" applyBorder="1" applyAlignment="1"/>
    <xf numFmtId="3" fontId="17" fillId="13" borderId="17" xfId="0" applyNumberFormat="1" applyFont="1" applyFill="1" applyBorder="1" applyAlignment="1"/>
    <xf numFmtId="3" fontId="17" fillId="13" borderId="19" xfId="0" applyNumberFormat="1" applyFont="1" applyFill="1" applyBorder="1" applyAlignment="1"/>
    <xf numFmtId="49" fontId="17" fillId="0" borderId="16" xfId="0" applyNumberFormat="1" applyFont="1" applyBorder="1" applyAlignment="1"/>
    <xf numFmtId="3" fontId="17" fillId="12" borderId="16" xfId="0" applyNumberFormat="1" applyFont="1" applyFill="1" applyBorder="1" applyAlignment="1"/>
    <xf numFmtId="3" fontId="17" fillId="12" borderId="17" xfId="0" applyNumberFormat="1" applyFont="1" applyFill="1" applyBorder="1" applyAlignment="1"/>
    <xf numFmtId="3" fontId="24" fillId="13" borderId="16" xfId="0" applyNumberFormat="1" applyFont="1" applyFill="1" applyBorder="1" applyAlignment="1"/>
    <xf numFmtId="3" fontId="24" fillId="0" borderId="16" xfId="0" applyNumberFormat="1" applyFont="1" applyBorder="1" applyAlignment="1"/>
    <xf numFmtId="3" fontId="24" fillId="0" borderId="17" xfId="0" applyNumberFormat="1" applyFont="1" applyBorder="1" applyAlignment="1"/>
    <xf numFmtId="3" fontId="24" fillId="13" borderId="17" xfId="0" applyNumberFormat="1" applyFont="1" applyFill="1" applyBorder="1" applyAlignment="1"/>
    <xf numFmtId="3" fontId="22" fillId="11" borderId="20" xfId="0" applyNumberFormat="1" applyFont="1" applyFill="1" applyBorder="1" applyAlignment="1"/>
    <xf numFmtId="3" fontId="17" fillId="0" borderId="21" xfId="0" applyNumberFormat="1" applyFont="1" applyBorder="1" applyAlignment="1"/>
    <xf numFmtId="3" fontId="17" fillId="0" borderId="22" xfId="0" applyNumberFormat="1" applyFont="1" applyBorder="1" applyAlignment="1"/>
    <xf numFmtId="3" fontId="17" fillId="0" borderId="23" xfId="0" applyNumberFormat="1" applyFont="1" applyBorder="1" applyAlignment="1"/>
    <xf numFmtId="3" fontId="17" fillId="0" borderId="24" xfId="0" applyNumberFormat="1" applyFont="1" applyBorder="1" applyAlignment="1"/>
    <xf numFmtId="3" fontId="17" fillId="0" borderId="25" xfId="0" applyNumberFormat="1" applyFont="1" applyBorder="1" applyAlignment="1"/>
    <xf numFmtId="180" fontId="0" fillId="0" borderId="0" xfId="0" applyNumberFormat="1" applyFont="1" applyAlignment="1"/>
    <xf numFmtId="0" fontId="0" fillId="0" borderId="0" xfId="0" applyNumberFormat="1" applyFont="1" applyAlignment="1"/>
    <xf numFmtId="181" fontId="0" fillId="0" borderId="0" xfId="1" applyNumberFormat="1" applyFont="1" applyAlignment="1"/>
    <xf numFmtId="0" fontId="25" fillId="0" borderId="0" xfId="0" applyFont="1" applyAlignment="1"/>
    <xf numFmtId="180" fontId="25" fillId="0" borderId="0" xfId="0" applyNumberFormat="1" applyFont="1" applyAlignment="1"/>
    <xf numFmtId="0" fontId="25" fillId="0" borderId="0" xfId="0" applyFont="1" applyAlignment="1">
      <alignment wrapText="1"/>
    </xf>
    <xf numFmtId="0" fontId="25" fillId="0" borderId="0" xfId="0" applyNumberFormat="1" applyFont="1" applyAlignment="1"/>
    <xf numFmtId="181" fontId="25" fillId="0" borderId="0" xfId="1" applyNumberFormat="1" applyFont="1" applyAlignment="1">
      <alignment wrapText="1"/>
    </xf>
    <xf numFmtId="180" fontId="0" fillId="12" borderId="0" xfId="0" applyNumberFormat="1" applyFont="1" applyFill="1" applyAlignment="1"/>
    <xf numFmtId="180" fontId="1" fillId="0" borderId="0" xfId="0" applyNumberFormat="1" applyFont="1" applyAlignment="1"/>
    <xf numFmtId="182" fontId="2" fillId="0" borderId="0" xfId="1" applyNumberFormat="1" applyFont="1" applyAlignment="1"/>
    <xf numFmtId="176" fontId="2" fillId="12" borderId="0" xfId="1" applyNumberFormat="1" applyFont="1" applyFill="1" applyAlignment="1"/>
    <xf numFmtId="176" fontId="2" fillId="0" borderId="0" xfId="1" applyNumberFormat="1" applyFont="1" applyAlignment="1"/>
    <xf numFmtId="181" fontId="2" fillId="0" borderId="0" xfId="1" applyNumberFormat="1" applyFont="1" applyAlignment="1"/>
    <xf numFmtId="182" fontId="1" fillId="0" borderId="0" xfId="1" applyNumberFormat="1" applyFont="1" applyAlignment="1"/>
    <xf numFmtId="176" fontId="1" fillId="12" borderId="0" xfId="1" applyNumberFormat="1" applyFont="1" applyFill="1" applyAlignment="1"/>
    <xf numFmtId="176" fontId="1" fillId="0" borderId="0" xfId="1" applyNumberFormat="1" applyFont="1" applyAlignment="1"/>
    <xf numFmtId="181" fontId="1" fillId="0" borderId="0" xfId="1" applyNumberFormat="1" applyFont="1" applyAlignment="1"/>
    <xf numFmtId="180" fontId="1" fillId="12" borderId="0" xfId="0" applyNumberFormat="1" applyFont="1" applyFill="1" applyAlignment="1"/>
    <xf numFmtId="0" fontId="0" fillId="14" borderId="0" xfId="0" applyFont="1" applyFill="1" applyAlignment="1"/>
    <xf numFmtId="0" fontId="0" fillId="15" borderId="0" xfId="0" applyFont="1" applyFill="1" applyAlignment="1"/>
    <xf numFmtId="0" fontId="1" fillId="0" borderId="0" xfId="0" applyNumberFormat="1" applyFont="1" applyAlignment="1"/>
    <xf numFmtId="0" fontId="26" fillId="0" borderId="0" xfId="0" applyFont="1" applyAlignment="1"/>
    <xf numFmtId="180" fontId="26" fillId="0" borderId="0" xfId="0" applyNumberFormat="1" applyFont="1" applyAlignment="1"/>
    <xf numFmtId="0" fontId="26" fillId="0" borderId="0" xfId="0" applyFont="1" applyAlignment="1">
      <alignment wrapText="1"/>
    </xf>
    <xf numFmtId="0" fontId="26" fillId="0" borderId="0" xfId="0" applyNumberFormat="1" applyFont="1" applyAlignment="1">
      <alignment wrapText="1"/>
    </xf>
    <xf numFmtId="181" fontId="26" fillId="0" borderId="0" xfId="1" applyNumberFormat="1" applyFont="1" applyAlignment="1">
      <alignment wrapText="1"/>
    </xf>
    <xf numFmtId="0" fontId="1" fillId="14" borderId="0" xfId="0" applyFont="1" applyFill="1" applyAlignment="1"/>
    <xf numFmtId="180" fontId="1" fillId="14" borderId="0" xfId="0" applyNumberFormat="1" applyFont="1" applyFill="1" applyAlignment="1"/>
    <xf numFmtId="181" fontId="1" fillId="14" borderId="0" xfId="1" applyNumberFormat="1" applyFont="1" applyFill="1" applyAlignment="1"/>
    <xf numFmtId="0" fontId="1" fillId="14" borderId="0" xfId="0" applyNumberFormat="1" applyFont="1" applyFill="1" applyAlignment="1"/>
    <xf numFmtId="183" fontId="1" fillId="14" borderId="0" xfId="0" applyNumberFormat="1" applyFont="1" applyFill="1" applyAlignment="1"/>
    <xf numFmtId="176" fontId="1" fillId="14" borderId="0" xfId="1" applyNumberFormat="1" applyFont="1" applyFill="1" applyAlignment="1"/>
    <xf numFmtId="184" fontId="1" fillId="14" borderId="0" xfId="0" applyNumberFormat="1" applyFont="1" applyFill="1" applyAlignment="1"/>
    <xf numFmtId="0" fontId="1" fillId="15" borderId="0" xfId="0" applyFont="1" applyFill="1" applyAlignment="1"/>
    <xf numFmtId="180" fontId="1" fillId="15" borderId="0" xfId="0" applyNumberFormat="1" applyFont="1" applyFill="1" applyAlignment="1"/>
    <xf numFmtId="181" fontId="1" fillId="15" borderId="0" xfId="1" applyNumberFormat="1" applyFont="1" applyFill="1" applyAlignment="1"/>
    <xf numFmtId="0" fontId="1" fillId="15" borderId="0" xfId="0" applyNumberFormat="1" applyFont="1" applyFill="1" applyAlignment="1"/>
    <xf numFmtId="183" fontId="1" fillId="12" borderId="0" xfId="0" applyNumberFormat="1" applyFont="1" applyFill="1" applyAlignment="1"/>
    <xf numFmtId="176" fontId="1" fillId="15" borderId="0" xfId="1" applyNumberFormat="1" applyFont="1" applyFill="1" applyAlignment="1"/>
    <xf numFmtId="183" fontId="1" fillId="15" borderId="0" xfId="0" applyNumberFormat="1" applyFont="1" applyFill="1" applyAlignment="1"/>
    <xf numFmtId="0" fontId="1" fillId="12" borderId="0" xfId="0" applyNumberFormat="1" applyFont="1" applyFill="1" applyAlignment="1"/>
    <xf numFmtId="184" fontId="1" fillId="15" borderId="0" xfId="0" applyNumberFormat="1" applyFont="1" applyFill="1" applyAlignment="1"/>
    <xf numFmtId="0" fontId="25" fillId="0" borderId="0" xfId="0" applyNumberFormat="1" applyFont="1" applyAlignment="1">
      <alignment wrapText="1"/>
    </xf>
    <xf numFmtId="0" fontId="25" fillId="14" borderId="0" xfId="0" applyNumberFormat="1" applyFont="1" applyFill="1" applyAlignment="1">
      <alignment wrapText="1"/>
    </xf>
    <xf numFmtId="0" fontId="25" fillId="0" borderId="0" xfId="0" applyFont="1" applyAlignment="1">
      <alignment horizontal="center" vertical="center"/>
    </xf>
    <xf numFmtId="180" fontId="0" fillId="14" borderId="0" xfId="0" applyNumberFormat="1" applyFont="1" applyFill="1" applyAlignment="1"/>
    <xf numFmtId="182" fontId="1" fillId="14" borderId="0" xfId="1" applyNumberFormat="1" applyFont="1" applyFill="1" applyAlignment="1"/>
    <xf numFmtId="185" fontId="1" fillId="14" borderId="0" xfId="0" applyNumberFormat="1" applyFont="1" applyFill="1" applyAlignment="1"/>
    <xf numFmtId="183" fontId="0" fillId="14" borderId="0" xfId="0" applyNumberFormat="1" applyFont="1" applyFill="1" applyAlignment="1"/>
    <xf numFmtId="0" fontId="0" fillId="14" borderId="0" xfId="0" applyNumberFormat="1" applyFont="1" applyFill="1" applyAlignment="1"/>
    <xf numFmtId="182" fontId="1" fillId="15" borderId="0" xfId="1" applyNumberFormat="1" applyFont="1" applyFill="1" applyAlignment="1"/>
    <xf numFmtId="185" fontId="1" fillId="15" borderId="0" xfId="0" applyNumberFormat="1" applyFont="1" applyFill="1" applyAlignment="1"/>
    <xf numFmtId="183" fontId="0" fillId="15" borderId="0" xfId="0" applyNumberFormat="1" applyFont="1" applyFill="1" applyAlignment="1"/>
    <xf numFmtId="180" fontId="0" fillId="15" borderId="0" xfId="0" applyNumberFormat="1" applyFont="1" applyFill="1" applyAlignment="1"/>
    <xf numFmtId="0" fontId="25" fillId="0" borderId="0" xfId="0" applyFont="1" applyBorder="1" applyAlignment="1">
      <alignment horizontal="center" wrapText="1"/>
    </xf>
    <xf numFmtId="0" fontId="25" fillId="0" borderId="0" xfId="0" applyFont="1" applyAlignment="1">
      <alignment horizontal="center"/>
    </xf>
    <xf numFmtId="0" fontId="0" fillId="0" borderId="0" xfId="0" applyBorder="1" applyAlignment="1">
      <alignment wrapText="1" readingOrder="1"/>
    </xf>
    <xf numFmtId="176" fontId="0" fillId="0" borderId="0" xfId="1" applyNumberFormat="1" applyFont="1" applyAlignment="1">
      <alignment readingOrder="1"/>
    </xf>
    <xf numFmtId="176" fontId="0" fillId="0" borderId="0" xfId="1" applyNumberFormat="1" applyFont="1" applyAlignment="1"/>
    <xf numFmtId="0" fontId="1" fillId="0" borderId="0" xfId="0" applyFont="1" applyBorder="1" applyAlignment="1">
      <alignment wrapText="1"/>
    </xf>
    <xf numFmtId="0" fontId="1" fillId="0" borderId="26" xfId="0" applyFont="1" applyBorder="1" applyAlignment="1">
      <alignment wrapText="1"/>
    </xf>
    <xf numFmtId="176" fontId="1" fillId="0" borderId="26" xfId="1" applyNumberFormat="1" applyFont="1" applyBorder="1" applyAlignment="1"/>
    <xf numFmtId="181" fontId="1" fillId="0" borderId="0" xfId="1" applyNumberFormat="1" applyFont="1" applyAlignment="1">
      <alignment readingOrder="1"/>
    </xf>
    <xf numFmtId="0" fontId="1" fillId="0" borderId="1" xfId="0" applyFont="1" applyBorder="1" applyAlignment="1">
      <alignment wrapText="1"/>
    </xf>
    <xf numFmtId="181" fontId="1" fillId="0" borderId="1" xfId="1" applyNumberFormat="1" applyFont="1" applyBorder="1" applyAlignment="1">
      <alignment readingOrder="1"/>
    </xf>
    <xf numFmtId="0" fontId="1" fillId="0" borderId="0" xfId="0" applyFont="1" applyAlignment="1">
      <alignment wrapText="1"/>
    </xf>
    <xf numFmtId="0" fontId="26" fillId="0" borderId="26" xfId="0" applyFont="1" applyBorder="1" applyAlignment="1">
      <alignment wrapText="1"/>
    </xf>
    <xf numFmtId="176" fontId="26" fillId="12" borderId="26" xfId="1" applyNumberFormat="1" applyFont="1" applyFill="1" applyBorder="1" applyAlignment="1"/>
    <xf numFmtId="176" fontId="26" fillId="0" borderId="26" xfId="1" applyNumberFormat="1" applyFont="1" applyBorder="1" applyAlignment="1"/>
    <xf numFmtId="176" fontId="26" fillId="12" borderId="0" xfId="1" applyNumberFormat="1" applyFont="1" applyFill="1" applyAlignment="1"/>
    <xf numFmtId="176" fontId="26" fillId="14" borderId="0" xfId="1" applyNumberFormat="1" applyFont="1" applyFill="1" applyAlignment="1"/>
    <xf numFmtId="0" fontId="25" fillId="16" borderId="1" xfId="0" applyFont="1" applyFill="1" applyBorder="1" applyAlignment="1">
      <alignment wrapText="1"/>
    </xf>
    <xf numFmtId="176" fontId="25" fillId="16" borderId="1" xfId="1" applyNumberFormat="1" applyFont="1" applyFill="1" applyBorder="1" applyAlignment="1"/>
    <xf numFmtId="49" fontId="10" fillId="4" borderId="5" xfId="0" applyNumberFormat="1" applyFont="1" applyFill="1" applyBorder="1" applyAlignment="1" applyProtection="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AAAAAA"/>
      <rgbColor rgb="00FF0000"/>
      <rgbColor rgb="00FFFFFF"/>
      <rgbColor rgb="003CA5DC"/>
      <rgbColor rgb="00EBEBEB"/>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114300</xdr:colOff>
      <xdr:row>0</xdr:row>
      <xdr:rowOff>177800</xdr:rowOff>
    </xdr:from>
    <xdr:to>
      <xdr:col>0</xdr:col>
      <xdr:colOff>2374900</xdr:colOff>
      <xdr:row>3</xdr:row>
      <xdr:rowOff>118816</xdr:rowOff>
    </xdr:to>
    <xdr:pic>
      <xdr:nvPicPr>
        <xdr:cNvPr id="2" name="Picture 6" descr="Picture 6"/>
        <xdr:cNvPicPr>
          <a:picLocks noChangeAspect="1"/>
        </xdr:cNvPicPr>
      </xdr:nvPicPr>
      <xdr:blipFill>
        <a:blip r:embed="rId1"/>
        <a:stretch>
          <a:fillRect/>
        </a:stretch>
      </xdr:blipFill>
      <xdr:spPr>
        <a:xfrm>
          <a:off x="114300" y="177800"/>
          <a:ext cx="2260600" cy="702945"/>
        </a:xfrm>
        <a:prstGeom prst="rect">
          <a:avLst/>
        </a:prstGeom>
        <a:ln w="12700" cap="flat">
          <a:noFill/>
          <a:miter lim="400000"/>
          <a:headEnd/>
          <a:tailEn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127000</xdr:colOff>
      <xdr:row>0</xdr:row>
      <xdr:rowOff>165101</xdr:rowOff>
    </xdr:from>
    <xdr:to>
      <xdr:col>0</xdr:col>
      <xdr:colOff>2387600</xdr:colOff>
      <xdr:row>4</xdr:row>
      <xdr:rowOff>194946</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27000" y="165100"/>
          <a:ext cx="2260600" cy="7061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chemeClr val="accent1"/>
          </a:solidFill>
          <a:prstDash val="solid"/>
          <a:miter lim="8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G37"/>
  <sheetViews>
    <sheetView tabSelected="1" workbookViewId="0">
      <selection activeCell="H39" sqref="H39"/>
    </sheetView>
  </sheetViews>
  <sheetFormatPr defaultColWidth="9.14285714285714" defaultRowHeight="12.75" outlineLevelCol="6"/>
  <cols>
    <col min="1" max="1" width="37.1428571428571" style="1" customWidth="1"/>
    <col min="2" max="2" width="10" customWidth="1"/>
    <col min="3" max="3" width="10.2857142857143" customWidth="1"/>
    <col min="4" max="4" width="11.8571428571429" customWidth="1"/>
    <col min="5" max="6" width="12.8571428571429"/>
  </cols>
  <sheetData>
    <row r="1" ht="14.25" customHeight="1" spans="1:7">
      <c r="A1" s="161" t="s">
        <v>0</v>
      </c>
      <c r="B1" s="162">
        <v>2026</v>
      </c>
      <c r="C1" s="109">
        <v>2027</v>
      </c>
      <c r="D1" s="109">
        <v>2028</v>
      </c>
      <c r="E1" s="109">
        <v>2029</v>
      </c>
      <c r="F1" s="109">
        <v>2030</v>
      </c>
      <c r="G1" s="109" t="s">
        <v>1</v>
      </c>
    </row>
    <row r="2" spans="1:7">
      <c r="A2" s="163" t="s">
        <v>2</v>
      </c>
      <c r="B2" s="164">
        <f>-48000/3</f>
        <v>-16000</v>
      </c>
      <c r="C2" s="165">
        <f>B2</f>
        <v>-16000</v>
      </c>
      <c r="D2" s="165">
        <f t="shared" ref="D2:D24" si="0">C2</f>
        <v>-16000</v>
      </c>
      <c r="E2" s="165">
        <f t="shared" ref="E2:E19" si="1">D2</f>
        <v>-16000</v>
      </c>
      <c r="F2" s="165">
        <f t="shared" ref="F2:F24" si="2">E2</f>
        <v>-16000</v>
      </c>
      <c r="G2" t="s">
        <v>3</v>
      </c>
    </row>
    <row r="3" spans="1:7">
      <c r="A3" s="163" t="s">
        <v>4</v>
      </c>
      <c r="B3" s="164">
        <v>-1000</v>
      </c>
      <c r="C3" s="165">
        <f>B3</f>
        <v>-1000</v>
      </c>
      <c r="D3" s="165">
        <f t="shared" si="0"/>
        <v>-1000</v>
      </c>
      <c r="E3" s="165">
        <f t="shared" si="1"/>
        <v>-1000</v>
      </c>
      <c r="F3" s="165">
        <f t="shared" si="2"/>
        <v>-1000</v>
      </c>
      <c r="G3" t="s">
        <v>3</v>
      </c>
    </row>
    <row r="4" ht="25.5" spans="1:7">
      <c r="A4" s="163" t="s">
        <v>5</v>
      </c>
      <c r="B4" s="164">
        <f>-((1606/12)+(4500/12))</f>
        <v>-508.833333333333</v>
      </c>
      <c r="C4" s="165">
        <f>B4</f>
        <v>-508.833333333333</v>
      </c>
      <c r="D4" s="165">
        <f t="shared" si="0"/>
        <v>-508.833333333333</v>
      </c>
      <c r="E4" s="165">
        <f t="shared" si="1"/>
        <v>-508.833333333333</v>
      </c>
      <c r="F4" s="165">
        <f t="shared" si="2"/>
        <v>-508.833333333333</v>
      </c>
      <c r="G4" t="s">
        <v>3</v>
      </c>
    </row>
    <row r="5" spans="1:7">
      <c r="A5" s="163" t="s">
        <v>6</v>
      </c>
      <c r="B5" s="164">
        <f>-2950/2</f>
        <v>-1475</v>
      </c>
      <c r="C5" s="165">
        <f t="shared" ref="C5:C24" si="3">B5</f>
        <v>-1475</v>
      </c>
      <c r="D5" s="165">
        <f t="shared" si="0"/>
        <v>-1475</v>
      </c>
      <c r="E5" s="165">
        <f t="shared" si="1"/>
        <v>-1475</v>
      </c>
      <c r="F5" s="165">
        <f t="shared" si="2"/>
        <v>-1475</v>
      </c>
      <c r="G5" t="s">
        <v>7</v>
      </c>
    </row>
    <row r="6" spans="1:7">
      <c r="A6" s="163" t="s">
        <v>8</v>
      </c>
      <c r="B6" s="164">
        <v>-3475</v>
      </c>
      <c r="C6" s="165">
        <f t="shared" si="3"/>
        <v>-3475</v>
      </c>
      <c r="D6" s="165">
        <f t="shared" si="0"/>
        <v>-3475</v>
      </c>
      <c r="E6" s="165">
        <f t="shared" si="1"/>
        <v>-3475</v>
      </c>
      <c r="F6" s="165">
        <f t="shared" si="2"/>
        <v>-3475</v>
      </c>
      <c r="G6" t="s">
        <v>9</v>
      </c>
    </row>
    <row r="7" spans="1:7">
      <c r="A7" s="163" t="s">
        <v>10</v>
      </c>
      <c r="B7" s="164">
        <f>-(((99+419)/3)+250)</f>
        <v>-422.666666666667</v>
      </c>
      <c r="C7" s="165">
        <f t="shared" si="3"/>
        <v>-422.666666666667</v>
      </c>
      <c r="D7" s="165">
        <f t="shared" si="0"/>
        <v>-422.666666666667</v>
      </c>
      <c r="E7" s="165">
        <f t="shared" si="1"/>
        <v>-422.666666666667</v>
      </c>
      <c r="F7" s="165">
        <f t="shared" si="2"/>
        <v>-422.666666666667</v>
      </c>
      <c r="G7" t="s">
        <v>11</v>
      </c>
    </row>
    <row r="8" s="3" customFormat="1" spans="1:7">
      <c r="A8" s="2" t="s">
        <v>12</v>
      </c>
      <c r="B8" s="4">
        <v>-528</v>
      </c>
      <c r="C8" s="122">
        <f t="shared" si="3"/>
        <v>-528</v>
      </c>
      <c r="D8" s="122">
        <f t="shared" si="0"/>
        <v>-528</v>
      </c>
      <c r="E8" s="122">
        <f t="shared" si="1"/>
        <v>-528</v>
      </c>
      <c r="F8" s="122">
        <f t="shared" si="2"/>
        <v>-528</v>
      </c>
      <c r="G8" s="3" t="s">
        <v>13</v>
      </c>
    </row>
    <row r="9" s="3" customFormat="1" spans="1:7">
      <c r="A9" s="2" t="s">
        <v>14</v>
      </c>
      <c r="B9" s="4">
        <v>0</v>
      </c>
      <c r="C9" s="122">
        <f t="shared" si="3"/>
        <v>0</v>
      </c>
      <c r="D9" s="122">
        <f t="shared" si="0"/>
        <v>0</v>
      </c>
      <c r="E9" s="122">
        <f t="shared" si="1"/>
        <v>0</v>
      </c>
      <c r="F9" s="122">
        <f t="shared" si="2"/>
        <v>0</v>
      </c>
      <c r="G9" s="3" t="s">
        <v>13</v>
      </c>
    </row>
    <row r="10" spans="1:7">
      <c r="A10" s="163" t="s">
        <v>15</v>
      </c>
      <c r="B10" s="164">
        <f>-((348/2)+500/12)</f>
        <v>-215.666666666667</v>
      </c>
      <c r="C10" s="165">
        <f t="shared" si="3"/>
        <v>-215.666666666667</v>
      </c>
      <c r="D10" s="165">
        <f t="shared" si="0"/>
        <v>-215.666666666667</v>
      </c>
      <c r="E10" s="165">
        <f t="shared" si="1"/>
        <v>-215.666666666667</v>
      </c>
      <c r="F10" s="165">
        <f t="shared" si="2"/>
        <v>-215.666666666667</v>
      </c>
      <c r="G10" t="s">
        <v>16</v>
      </c>
    </row>
    <row r="11" spans="1:7">
      <c r="A11" s="163" t="s">
        <v>17</v>
      </c>
      <c r="B11" s="164">
        <f>-400*6/12</f>
        <v>-200</v>
      </c>
      <c r="C11" s="165">
        <f t="shared" si="3"/>
        <v>-200</v>
      </c>
      <c r="D11" s="165">
        <f t="shared" si="0"/>
        <v>-200</v>
      </c>
      <c r="E11" s="165">
        <f t="shared" si="1"/>
        <v>-200</v>
      </c>
      <c r="F11" s="165">
        <f t="shared" si="2"/>
        <v>-200</v>
      </c>
      <c r="G11" t="s">
        <v>16</v>
      </c>
    </row>
    <row r="12" spans="1:7">
      <c r="A12" s="6" t="s">
        <v>18</v>
      </c>
      <c r="B12" s="5">
        <f>-((27550+997+855)/12)</f>
        <v>-2450.16666666667</v>
      </c>
      <c r="C12" s="118">
        <f t="shared" si="3"/>
        <v>-2450.16666666667</v>
      </c>
      <c r="D12" s="118">
        <f t="shared" si="0"/>
        <v>-2450.16666666667</v>
      </c>
      <c r="E12" s="118">
        <f t="shared" si="1"/>
        <v>-2450.16666666667</v>
      </c>
      <c r="F12" s="118">
        <f t="shared" si="2"/>
        <v>-2450.16666666667</v>
      </c>
      <c r="G12" t="s">
        <v>11</v>
      </c>
    </row>
    <row r="13" spans="1:7">
      <c r="A13" s="6" t="s">
        <v>19</v>
      </c>
      <c r="B13" s="5">
        <f>-((3312+2760)/12)</f>
        <v>-506</v>
      </c>
      <c r="C13" s="118">
        <f t="shared" si="3"/>
        <v>-506</v>
      </c>
      <c r="D13" s="118">
        <f t="shared" si="0"/>
        <v>-506</v>
      </c>
      <c r="E13" s="118">
        <f t="shared" si="1"/>
        <v>-506</v>
      </c>
      <c r="F13" s="118">
        <f t="shared" si="2"/>
        <v>-506</v>
      </c>
      <c r="G13" t="s">
        <v>11</v>
      </c>
    </row>
    <row r="14" spans="1:7">
      <c r="A14" s="6" t="s">
        <v>20</v>
      </c>
      <c r="B14" s="5">
        <f>-(2*1656)/12</f>
        <v>-276</v>
      </c>
      <c r="C14" s="118">
        <f t="shared" si="3"/>
        <v>-276</v>
      </c>
      <c r="D14" s="118">
        <f t="shared" si="0"/>
        <v>-276</v>
      </c>
      <c r="E14" s="118">
        <f t="shared" si="1"/>
        <v>-276</v>
      </c>
      <c r="F14" s="118">
        <f t="shared" si="2"/>
        <v>-276</v>
      </c>
      <c r="G14" t="s">
        <v>11</v>
      </c>
    </row>
    <row r="15" spans="1:7">
      <c r="A15" s="6" t="s">
        <v>21</v>
      </c>
      <c r="B15" s="5">
        <f>-2996/12</f>
        <v>-249.666666666667</v>
      </c>
      <c r="C15" s="118">
        <f t="shared" si="3"/>
        <v>-249.666666666667</v>
      </c>
      <c r="D15" s="118">
        <f t="shared" si="0"/>
        <v>-249.666666666667</v>
      </c>
      <c r="E15" s="118">
        <f t="shared" si="1"/>
        <v>-249.666666666667</v>
      </c>
      <c r="F15" s="118">
        <f t="shared" si="2"/>
        <v>-249.666666666667</v>
      </c>
      <c r="G15" t="s">
        <v>11</v>
      </c>
    </row>
    <row r="16" spans="1:7">
      <c r="A16" s="163" t="s">
        <v>22</v>
      </c>
      <c r="B16" s="164">
        <f>-1500/3</f>
        <v>-500</v>
      </c>
      <c r="C16" s="165">
        <f t="shared" si="3"/>
        <v>-500</v>
      </c>
      <c r="D16" s="165">
        <f t="shared" si="0"/>
        <v>-500</v>
      </c>
      <c r="E16" s="165">
        <f t="shared" si="1"/>
        <v>-500</v>
      </c>
      <c r="F16" s="165">
        <f t="shared" si="2"/>
        <v>-500</v>
      </c>
      <c r="G16" t="s">
        <v>23</v>
      </c>
    </row>
    <row r="17" spans="1:7">
      <c r="A17" s="163" t="s">
        <v>24</v>
      </c>
      <c r="B17" s="164">
        <f>-((1210/6)+(800/12))</f>
        <v>-268.333333333333</v>
      </c>
      <c r="C17" s="165">
        <f t="shared" si="3"/>
        <v>-268.333333333333</v>
      </c>
      <c r="D17" s="165">
        <f t="shared" si="0"/>
        <v>-268.333333333333</v>
      </c>
      <c r="E17" s="165">
        <f t="shared" si="1"/>
        <v>-268.333333333333</v>
      </c>
      <c r="F17" s="165">
        <f t="shared" si="2"/>
        <v>-268.333333333333</v>
      </c>
      <c r="G17" t="s">
        <v>9</v>
      </c>
    </row>
    <row r="18" spans="1:7">
      <c r="A18" s="163" t="s">
        <v>25</v>
      </c>
      <c r="B18" s="164">
        <v>-1300</v>
      </c>
      <c r="C18" s="165">
        <f t="shared" si="3"/>
        <v>-1300</v>
      </c>
      <c r="D18" s="165">
        <f t="shared" si="0"/>
        <v>-1300</v>
      </c>
      <c r="E18" s="165">
        <f t="shared" si="1"/>
        <v>-1300</v>
      </c>
      <c r="F18" s="165">
        <f t="shared" si="2"/>
        <v>-1300</v>
      </c>
      <c r="G18" t="s">
        <v>23</v>
      </c>
    </row>
    <row r="19" spans="1:7">
      <c r="A19" s="163" t="s">
        <v>26</v>
      </c>
      <c r="B19" s="164">
        <v>0</v>
      </c>
      <c r="C19" s="165">
        <v>-3200</v>
      </c>
      <c r="D19" s="165">
        <f t="shared" si="0"/>
        <v>-3200</v>
      </c>
      <c r="E19" s="165">
        <v>-5200</v>
      </c>
      <c r="F19" s="165">
        <f t="shared" si="2"/>
        <v>-5200</v>
      </c>
      <c r="G19" t="s">
        <v>27</v>
      </c>
    </row>
    <row r="20" ht="25.5" spans="1:7">
      <c r="A20" s="163" t="s">
        <v>28</v>
      </c>
      <c r="B20" s="164">
        <f>-(114+130+149+39)</f>
        <v>-432</v>
      </c>
      <c r="C20" s="165">
        <f>B20</f>
        <v>-432</v>
      </c>
      <c r="D20" s="165">
        <f t="shared" si="0"/>
        <v>-432</v>
      </c>
      <c r="E20" s="165">
        <f>D20</f>
        <v>-432</v>
      </c>
      <c r="F20" s="165">
        <f t="shared" si="2"/>
        <v>-432</v>
      </c>
      <c r="G20" t="s">
        <v>29</v>
      </c>
    </row>
    <row r="21" spans="1:7">
      <c r="A21" s="163" t="s">
        <v>30</v>
      </c>
      <c r="B21" s="164">
        <f>-(1000/12)</f>
        <v>-83.3333333333333</v>
      </c>
      <c r="C21" s="164">
        <f>-(1000/12)</f>
        <v>-83.3333333333333</v>
      </c>
      <c r="D21" s="164">
        <f>-(1000/12)</f>
        <v>-83.3333333333333</v>
      </c>
      <c r="E21" s="164">
        <f>-(1000/12)</f>
        <v>-83.3333333333333</v>
      </c>
      <c r="F21" s="164">
        <f>-(1000/12)</f>
        <v>-83.3333333333333</v>
      </c>
      <c r="G21" t="s">
        <v>13</v>
      </c>
    </row>
    <row r="22" spans="1:7">
      <c r="A22" s="163" t="s">
        <v>31</v>
      </c>
      <c r="B22" s="164">
        <f>-((99+114))</f>
        <v>-213</v>
      </c>
      <c r="C22" s="165">
        <f>B22</f>
        <v>-213</v>
      </c>
      <c r="D22" s="165">
        <f>C22</f>
        <v>-213</v>
      </c>
      <c r="E22" s="165">
        <f>D22</f>
        <v>-213</v>
      </c>
      <c r="F22" s="165">
        <f>E22</f>
        <v>-213</v>
      </c>
      <c r="G22" t="s">
        <v>13</v>
      </c>
    </row>
    <row r="23" spans="1:7">
      <c r="A23" s="163" t="s">
        <v>32</v>
      </c>
      <c r="B23" s="164">
        <f>-(2*676)/12</f>
        <v>-112.666666666667</v>
      </c>
      <c r="C23" s="165">
        <f>B23</f>
        <v>-112.666666666667</v>
      </c>
      <c r="D23" s="165">
        <f>C23</f>
        <v>-112.666666666667</v>
      </c>
      <c r="E23" s="165">
        <f>D23</f>
        <v>-112.666666666667</v>
      </c>
      <c r="F23" s="165">
        <f>E23</f>
        <v>-112.666666666667</v>
      </c>
      <c r="G23" t="s">
        <v>29</v>
      </c>
    </row>
    <row r="24" spans="1:7">
      <c r="A24" s="163" t="s">
        <v>33</v>
      </c>
      <c r="B24" s="164">
        <f>-(9*2400/12)</f>
        <v>-1800</v>
      </c>
      <c r="C24" s="165">
        <f>B24</f>
        <v>-1800</v>
      </c>
      <c r="D24" s="165">
        <f>C24</f>
        <v>-1800</v>
      </c>
      <c r="E24" s="165">
        <f>D24</f>
        <v>-1800</v>
      </c>
      <c r="F24" s="165">
        <f>E24</f>
        <v>-1800</v>
      </c>
      <c r="G24" t="s">
        <v>23</v>
      </c>
    </row>
    <row r="25" ht="25.5" spans="1:7">
      <c r="A25" s="166" t="s">
        <v>34</v>
      </c>
      <c r="B25" s="122">
        <v>0</v>
      </c>
      <c r="C25" s="122">
        <f>-SUM('Udgifter (Forecast)'!M23:M43)/12</f>
        <v>-3266.59</v>
      </c>
      <c r="D25" s="122">
        <f>-SUM('Udgifter (Forecast)'!M44:M64)/12</f>
        <v>-3976.09</v>
      </c>
      <c r="E25" s="122" cm="1">
        <f t="array" ref="E25">-SUM('Udgifter (Forecast)'!M65:M85/12)</f>
        <v>-4738.92333333333</v>
      </c>
      <c r="F25" s="122">
        <f>-SUM('Udgifter (Forecast)'!M86:M106)/12</f>
        <v>-5740.76666666667</v>
      </c>
      <c r="G25" t="s">
        <v>35</v>
      </c>
    </row>
    <row r="26" ht="25.5" spans="1:7">
      <c r="A26" s="167" t="s">
        <v>36</v>
      </c>
      <c r="B26" s="168">
        <v>0</v>
      </c>
      <c r="C26" s="168">
        <f>((((SUM('Indtægter (Forecast)'!N7:N11)/12)-C25)-12000)*(1-0.39))+12000</f>
        <v>15792.1199</v>
      </c>
      <c r="D26" s="168" cm="1">
        <f t="array" ref="D26">(((SUM('Indtægter (Forecast)'!N17:N21/12)-D25)-12000)*(1-0.39))+12000</f>
        <v>21308.2482333333</v>
      </c>
      <c r="E26" s="168" cm="1">
        <f t="array" ref="E26">(((SUM('Indtægter (Forecast)'!N17:N21/12)-E25)-12000)*(1-0.39))+12000</f>
        <v>21773.5765666667</v>
      </c>
      <c r="F26" s="168">
        <f>((((SUM('Indtægter (Forecast)'!N17:N21)/12)-F25)-12000)*(1-0.39))+12000</f>
        <v>22384.701</v>
      </c>
      <c r="G26" t="s">
        <v>35</v>
      </c>
    </row>
    <row r="27" spans="1:7">
      <c r="A27" s="166" t="s">
        <v>37</v>
      </c>
      <c r="B27" s="121">
        <v>0</v>
      </c>
      <c r="C27" s="121">
        <v>15000</v>
      </c>
      <c r="D27" s="121">
        <v>20000</v>
      </c>
      <c r="E27" s="121">
        <v>20000</v>
      </c>
      <c r="F27" s="121">
        <v>20000</v>
      </c>
      <c r="G27" t="s">
        <v>35</v>
      </c>
    </row>
    <row r="28" spans="1:7">
      <c r="A28" s="166" t="s">
        <v>38</v>
      </c>
      <c r="B28" s="169">
        <v>32000</v>
      </c>
      <c r="C28" s="169">
        <v>32000</v>
      </c>
      <c r="D28" s="169">
        <v>32000</v>
      </c>
      <c r="E28" s="169">
        <v>32000</v>
      </c>
      <c r="F28" s="169">
        <v>32000</v>
      </c>
      <c r="G28" t="s">
        <v>39</v>
      </c>
    </row>
    <row r="29" spans="1:7">
      <c r="A29" s="166" t="s">
        <v>40</v>
      </c>
      <c r="B29" s="169">
        <v>5500</v>
      </c>
      <c r="C29" s="169">
        <v>0</v>
      </c>
      <c r="D29" s="169">
        <v>0</v>
      </c>
      <c r="E29" s="169">
        <v>0</v>
      </c>
      <c r="F29" s="169">
        <v>0</v>
      </c>
      <c r="G29" t="s">
        <v>39</v>
      </c>
    </row>
    <row r="30" spans="1:7">
      <c r="A30" s="170" t="s">
        <v>41</v>
      </c>
      <c r="B30" s="171">
        <v>1500</v>
      </c>
      <c r="C30" s="171">
        <v>1500</v>
      </c>
      <c r="D30" s="171">
        <v>3000</v>
      </c>
      <c r="E30" s="171">
        <v>3000</v>
      </c>
      <c r="F30" s="171">
        <v>3000</v>
      </c>
      <c r="G30" t="s">
        <v>39</v>
      </c>
    </row>
    <row r="31" spans="1:7">
      <c r="A31" s="172" t="s">
        <v>42</v>
      </c>
      <c r="B31" s="122">
        <f>SUM(B2:B24)</f>
        <v>-32016.3333333333</v>
      </c>
      <c r="C31" s="122">
        <f>SUM(C2:C24)</f>
        <v>-35216.3333333333</v>
      </c>
      <c r="D31" s="122">
        <f>SUM(D2:D24)</f>
        <v>-35216.3333333333</v>
      </c>
      <c r="E31" s="122">
        <f>SUM(E2:E24)</f>
        <v>-37216.3333333333</v>
      </c>
      <c r="F31" s="122">
        <f>SUM(F2:F24)</f>
        <v>-37216.3333333333</v>
      </c>
      <c r="G31" t="s">
        <v>43</v>
      </c>
    </row>
    <row r="32" spans="1:7">
      <c r="A32" s="172" t="s">
        <v>44</v>
      </c>
      <c r="B32" s="122">
        <v>-4000</v>
      </c>
      <c r="C32" s="122">
        <v>-5000</v>
      </c>
      <c r="D32" s="122">
        <v>-5000</v>
      </c>
      <c r="E32" s="122">
        <v>-5000</v>
      </c>
      <c r="F32" s="122">
        <v>-5000</v>
      </c>
      <c r="G32" t="s">
        <v>43</v>
      </c>
    </row>
    <row r="33" spans="1:7">
      <c r="A33" s="172" t="s">
        <v>45</v>
      </c>
      <c r="B33" s="122">
        <f>B27+B28+B29+B30+B31+B32</f>
        <v>2983.66666666666</v>
      </c>
      <c r="C33" s="122">
        <f>C27+C28+C29+C30+C31+C32</f>
        <v>8283.6666666667</v>
      </c>
      <c r="D33" s="122">
        <f>D27+D28+D29+D30+D31+D32</f>
        <v>14783.6666666667</v>
      </c>
      <c r="E33" s="122">
        <f>E27+E28+E29+E30+E31+E32</f>
        <v>12783.6666666667</v>
      </c>
      <c r="F33" s="122">
        <f>F27+F28+F29+F30+F31+F32</f>
        <v>12783.6666666667</v>
      </c>
      <c r="G33" t="s">
        <v>46</v>
      </c>
    </row>
    <row r="34" spans="1:7">
      <c r="A34" s="172" t="s">
        <v>47</v>
      </c>
      <c r="B34" s="122">
        <f>B26-B27</f>
        <v>0</v>
      </c>
      <c r="C34" s="122">
        <f>C26-C27</f>
        <v>792.1199</v>
      </c>
      <c r="D34" s="122">
        <f>D26-D27</f>
        <v>1308.24823333334</v>
      </c>
      <c r="E34" s="122">
        <f>E26-E27</f>
        <v>1773.57656666667</v>
      </c>
      <c r="F34" s="122">
        <f>F26-F27</f>
        <v>2384.701</v>
      </c>
      <c r="G34" t="s">
        <v>48</v>
      </c>
    </row>
    <row r="35" spans="1:7">
      <c r="A35" s="173" t="s">
        <v>49</v>
      </c>
      <c r="B35" s="174">
        <v>85000</v>
      </c>
      <c r="C35" s="175">
        <f>B35+(12*C33)</f>
        <v>184404</v>
      </c>
      <c r="D35" s="175">
        <f>C35+(12*D33)</f>
        <v>361808.000000001</v>
      </c>
      <c r="E35" s="175">
        <f>D35+(12*E33)</f>
        <v>515212.000000001</v>
      </c>
      <c r="F35" s="175">
        <f>E35+(12*F33)</f>
        <v>668616.000000002</v>
      </c>
      <c r="G35" t="s">
        <v>50</v>
      </c>
    </row>
    <row r="36" spans="1:7">
      <c r="A36" s="130" t="s">
        <v>51</v>
      </c>
      <c r="B36" s="176">
        <v>20000</v>
      </c>
      <c r="C36" s="177">
        <f>B36+(12*C34)</f>
        <v>29505.4388</v>
      </c>
      <c r="D36" s="177">
        <f>C36+(12*D34)</f>
        <v>45204.4176</v>
      </c>
      <c r="E36" s="177">
        <f>D36+(12*E34)</f>
        <v>66487.3364</v>
      </c>
      <c r="F36" s="177">
        <f>E36+(12*F34)</f>
        <v>95103.7484</v>
      </c>
      <c r="G36" t="s">
        <v>50</v>
      </c>
    </row>
    <row r="37" spans="1:7">
      <c r="A37" s="178" t="s">
        <v>52</v>
      </c>
      <c r="B37" s="179">
        <f>B35+B36</f>
        <v>105000</v>
      </c>
      <c r="C37" s="179">
        <f>C35+C36</f>
        <v>213909.4388</v>
      </c>
      <c r="D37" s="179">
        <f>D35+D36</f>
        <v>407012.417600001</v>
      </c>
      <c r="E37" s="179">
        <f>E35+E36</f>
        <v>581699.336400001</v>
      </c>
      <c r="F37" s="179">
        <f>F35+F36</f>
        <v>763719.748400002</v>
      </c>
      <c r="G37" t="s">
        <v>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S31"/>
  <sheetViews>
    <sheetView workbookViewId="0">
      <pane ySplit="1" topLeftCell="A2" activePane="bottomLeft" state="frozen"/>
      <selection/>
      <selection pane="bottomLeft" activeCell="J37" sqref="J37"/>
    </sheetView>
  </sheetViews>
  <sheetFormatPr defaultColWidth="9.14285714285714" defaultRowHeight="12.75"/>
  <cols>
    <col min="1" max="1" width="13.1428571428571" customWidth="1"/>
    <col min="2" max="2" width="14.5714285714286" style="106" customWidth="1"/>
    <col min="3" max="3" width="14.4285714285714" style="106" customWidth="1"/>
    <col min="4" max="4" width="10.4285714285714" customWidth="1"/>
    <col min="5" max="5" width="15.7142857142857" customWidth="1"/>
    <col min="6" max="6" width="10.4285714285714" customWidth="1"/>
    <col min="7" max="7" width="7.42857142857143" customWidth="1"/>
    <col min="8" max="8" width="14.5714285714286" customWidth="1"/>
    <col min="9" max="9" width="9" style="107" customWidth="1"/>
    <col min="10" max="10" width="11" customWidth="1"/>
    <col min="11" max="11" width="17.5714285714286" style="3" customWidth="1"/>
    <col min="12" max="12" width="14.8571428571429" style="123" customWidth="1"/>
    <col min="13" max="14" width="13" style="108" customWidth="1"/>
    <col min="15" max="15" width="13.8571428571429" customWidth="1"/>
    <col min="16" max="16" width="12.4285714285714" style="107" customWidth="1"/>
    <col min="17" max="17" width="16.2857142857143" customWidth="1"/>
    <col min="18" max="18" width="14" style="107"/>
  </cols>
  <sheetData>
    <row r="1" ht="38.25" spans="1:19">
      <c r="A1" s="109" t="s">
        <v>53</v>
      </c>
      <c r="B1" s="110" t="s">
        <v>54</v>
      </c>
      <c r="C1" s="110" t="s">
        <v>55</v>
      </c>
      <c r="D1" s="109" t="s">
        <v>56</v>
      </c>
      <c r="E1" s="111" t="s">
        <v>57</v>
      </c>
      <c r="F1" s="109" t="s">
        <v>1</v>
      </c>
      <c r="G1" s="109" t="s">
        <v>58</v>
      </c>
      <c r="H1" s="111" t="s">
        <v>59</v>
      </c>
      <c r="I1" s="149" t="s">
        <v>60</v>
      </c>
      <c r="J1" s="111" t="s">
        <v>61</v>
      </c>
      <c r="K1" s="130" t="s">
        <v>62</v>
      </c>
      <c r="L1" s="132" t="s">
        <v>63</v>
      </c>
      <c r="M1" s="113" t="s">
        <v>64</v>
      </c>
      <c r="N1" s="113" t="s">
        <v>65</v>
      </c>
      <c r="O1" s="111" t="s">
        <v>66</v>
      </c>
      <c r="P1" s="150" t="s">
        <v>67</v>
      </c>
      <c r="Q1" s="111" t="s">
        <v>68</v>
      </c>
      <c r="R1" s="149" t="s">
        <v>69</v>
      </c>
      <c r="S1" s="151" t="s">
        <v>70</v>
      </c>
    </row>
    <row r="2" s="126" customFormat="1" spans="1:19">
      <c r="A2" s="125" t="s">
        <v>71</v>
      </c>
      <c r="B2" s="152">
        <v>46327</v>
      </c>
      <c r="C2" s="134">
        <f>EDATE(B2,0)</f>
        <v>46327</v>
      </c>
      <c r="D2" s="125" t="s">
        <v>72</v>
      </c>
      <c r="E2" s="125" t="s">
        <v>73</v>
      </c>
      <c r="F2" s="125" t="s">
        <v>71</v>
      </c>
      <c r="G2" s="125" t="s">
        <v>74</v>
      </c>
      <c r="H2" s="153">
        <v>150</v>
      </c>
      <c r="I2" s="117">
        <v>25</v>
      </c>
      <c r="J2" s="133">
        <f t="shared" ref="J2:J7" si="0">DATEDIF(B2,C2,"m")+1</f>
        <v>1</v>
      </c>
      <c r="K2" s="135">
        <f t="shared" ref="K2:K31" si="1">I2*H2/J2</f>
        <v>3750</v>
      </c>
      <c r="L2" s="135">
        <f t="shared" ref="L2:L31" si="2">K2-(K2/5)</f>
        <v>3000</v>
      </c>
      <c r="M2" s="135">
        <f t="shared" ref="M2:M31" si="3">IF(D2="Indtægt",K2*J2,-K2*J2)</f>
        <v>3750</v>
      </c>
      <c r="N2" s="135">
        <f t="shared" ref="N2:N31" si="4">L2*J2</f>
        <v>3000</v>
      </c>
      <c r="O2" s="154">
        <f>40/60</f>
        <v>0.666666666666667</v>
      </c>
      <c r="P2" s="137">
        <f>O2*I2</f>
        <v>16.6666666666667</v>
      </c>
      <c r="Q2" s="137">
        <f>N2-('Udgifter (Forecast)'!M4+'Udgifter (Forecast)'!M9+'Udgifter (Forecast)'!M11)</f>
        <v>0</v>
      </c>
      <c r="R2" s="155">
        <f t="shared" ref="R2:R31" si="5">Q2/P2</f>
        <v>0</v>
      </c>
      <c r="S2" s="125">
        <v>2026</v>
      </c>
    </row>
    <row r="3" s="126" customFormat="1" spans="1:19">
      <c r="A3" s="125" t="s">
        <v>75</v>
      </c>
      <c r="B3" s="152">
        <f>C2</f>
        <v>46327</v>
      </c>
      <c r="C3" s="134">
        <f>EDATE(B3,1)</f>
        <v>46357</v>
      </c>
      <c r="D3" s="125" t="s">
        <v>72</v>
      </c>
      <c r="E3" s="125" t="s">
        <v>73</v>
      </c>
      <c r="F3" s="125" t="s">
        <v>75</v>
      </c>
      <c r="G3" s="125" t="s">
        <v>74</v>
      </c>
      <c r="H3" s="153">
        <v>2.5</v>
      </c>
      <c r="I3" s="138">
        <f>'Udgifter (Forecast)'!H10*(250/365)*45</f>
        <v>2527.39726027397</v>
      </c>
      <c r="J3" s="133">
        <f t="shared" si="0"/>
        <v>2</v>
      </c>
      <c r="K3" s="135">
        <f t="shared" si="1"/>
        <v>3159.24657534246</v>
      </c>
      <c r="L3" s="135">
        <f t="shared" si="2"/>
        <v>2527.39726027397</v>
      </c>
      <c r="M3" s="135">
        <f t="shared" si="3"/>
        <v>6318.49315068493</v>
      </c>
      <c r="N3" s="135">
        <f t="shared" si="4"/>
        <v>5054.79452054794</v>
      </c>
      <c r="O3" s="133">
        <f>3/60</f>
        <v>0.05</v>
      </c>
      <c r="P3" s="137">
        <f>O3*I3</f>
        <v>126.369863013699</v>
      </c>
      <c r="Q3" s="137">
        <f>N3-'Udgifter (Forecast)'!M2-'Udgifter (Forecast)'!M10-'Udgifter (Forecast)'!M12-'Udgifter (Forecast)'!M19-'Udgifter (Forecast)'!M21-'Udgifter (Forecast)'!M22</f>
        <v>2019.91452054794</v>
      </c>
      <c r="R3" s="155">
        <f t="shared" si="5"/>
        <v>15.9841474254742</v>
      </c>
      <c r="S3" s="125">
        <v>2026</v>
      </c>
    </row>
    <row r="4" s="126" customFormat="1" spans="1:19">
      <c r="A4" s="125" t="s">
        <v>76</v>
      </c>
      <c r="B4" s="152">
        <v>46143</v>
      </c>
      <c r="C4" s="134">
        <f>EDATE(B4,0)</f>
        <v>46143</v>
      </c>
      <c r="D4" s="125" t="s">
        <v>72</v>
      </c>
      <c r="E4" s="125" t="s">
        <v>73</v>
      </c>
      <c r="F4" s="125" t="s">
        <v>76</v>
      </c>
      <c r="G4" s="125" t="s">
        <v>74</v>
      </c>
      <c r="H4" s="153">
        <v>12500</v>
      </c>
      <c r="I4" s="121">
        <v>2</v>
      </c>
      <c r="J4" s="133">
        <f t="shared" si="0"/>
        <v>1</v>
      </c>
      <c r="K4" s="135">
        <f t="shared" si="1"/>
        <v>25000</v>
      </c>
      <c r="L4" s="135">
        <f t="shared" si="2"/>
        <v>20000</v>
      </c>
      <c r="M4" s="135">
        <f t="shared" si="3"/>
        <v>25000</v>
      </c>
      <c r="N4" s="135">
        <f t="shared" si="4"/>
        <v>20000</v>
      </c>
      <c r="O4" s="137">
        <f>160/10</f>
        <v>16</v>
      </c>
      <c r="P4" s="136">
        <f>(('Udgifter (Forecast)'!H14+'Udgifter (Forecast)'!H15)/2)*O4</f>
        <v>40</v>
      </c>
      <c r="Q4" s="137">
        <f>N4-'Udgifter (Forecast)'!M3-'Udgifter (Forecast)'!M8-'Udgifter (Forecast)'!M13-'Udgifter (Forecast)'!M14-'Udgifter (Forecast)'!M15</f>
        <v>8208</v>
      </c>
      <c r="R4" s="155">
        <f t="shared" si="5"/>
        <v>205.2</v>
      </c>
      <c r="S4" s="125">
        <v>2026</v>
      </c>
    </row>
    <row r="5" s="126" customFormat="1" spans="1:19">
      <c r="A5" s="125" t="s">
        <v>77</v>
      </c>
      <c r="B5" s="152">
        <v>46174</v>
      </c>
      <c r="C5" s="134">
        <f>EDATE(B5,3)</f>
        <v>46266</v>
      </c>
      <c r="D5" s="125" t="s">
        <v>72</v>
      </c>
      <c r="E5" s="125" t="s">
        <v>73</v>
      </c>
      <c r="F5" s="125" t="s">
        <v>77</v>
      </c>
      <c r="G5" s="125" t="s">
        <v>78</v>
      </c>
      <c r="H5" s="153">
        <v>50</v>
      </c>
      <c r="I5" s="117">
        <v>0</v>
      </c>
      <c r="J5" s="133">
        <f t="shared" si="0"/>
        <v>4</v>
      </c>
      <c r="K5" s="135">
        <f t="shared" si="1"/>
        <v>0</v>
      </c>
      <c r="L5" s="135">
        <f t="shared" si="2"/>
        <v>0</v>
      </c>
      <c r="M5" s="135">
        <f t="shared" si="3"/>
        <v>0</v>
      </c>
      <c r="N5" s="135">
        <f t="shared" si="4"/>
        <v>0</v>
      </c>
      <c r="O5" s="133">
        <f>50/1000</f>
        <v>0.05</v>
      </c>
      <c r="P5" s="136">
        <v>0.01</v>
      </c>
      <c r="Q5" s="133">
        <f>N5-('Udgifter (Forecast)'!M16+'Udgifter (Forecast)'!M17)</f>
        <v>0</v>
      </c>
      <c r="R5" s="156">
        <f t="shared" si="5"/>
        <v>0</v>
      </c>
      <c r="S5" s="125">
        <v>2026</v>
      </c>
    </row>
    <row r="6" s="126" customFormat="1" spans="1:19">
      <c r="A6" s="125" t="s">
        <v>79</v>
      </c>
      <c r="B6" s="152">
        <v>46174</v>
      </c>
      <c r="C6" s="134">
        <f>EDATE(B6,3)</f>
        <v>46266</v>
      </c>
      <c r="D6" s="125" t="s">
        <v>72</v>
      </c>
      <c r="E6" s="125" t="s">
        <v>73</v>
      </c>
      <c r="F6" s="125" t="s">
        <v>79</v>
      </c>
      <c r="G6" s="125" t="s">
        <v>78</v>
      </c>
      <c r="H6" s="153">
        <v>12</v>
      </c>
      <c r="I6" s="117">
        <v>0</v>
      </c>
      <c r="J6" s="133">
        <f t="shared" si="0"/>
        <v>4</v>
      </c>
      <c r="K6" s="135">
        <f t="shared" si="1"/>
        <v>0</v>
      </c>
      <c r="L6" s="135">
        <f t="shared" si="2"/>
        <v>0</v>
      </c>
      <c r="M6" s="135">
        <f t="shared" si="3"/>
        <v>0</v>
      </c>
      <c r="N6" s="135">
        <f t="shared" si="4"/>
        <v>0</v>
      </c>
      <c r="O6" s="154">
        <f>5/60</f>
        <v>0.0833333333333333</v>
      </c>
      <c r="P6" s="136">
        <v>0.01</v>
      </c>
      <c r="Q6" s="133">
        <f>N6-('Udgifter (Forecast)'!M18+'Udgifter (Forecast)'!M20)</f>
        <v>0</v>
      </c>
      <c r="R6" s="156">
        <f t="shared" si="5"/>
        <v>0</v>
      </c>
      <c r="S6" s="125">
        <v>2026</v>
      </c>
    </row>
    <row r="7" s="126" customFormat="1" spans="1:19">
      <c r="A7" s="126" t="s">
        <v>71</v>
      </c>
      <c r="B7" s="124">
        <v>46692</v>
      </c>
      <c r="C7" s="141">
        <f>EDATE(B7,0)</f>
        <v>46692</v>
      </c>
      <c r="D7" s="126" t="s">
        <v>72</v>
      </c>
      <c r="E7" s="126" t="s">
        <v>73</v>
      </c>
      <c r="F7" s="126" t="s">
        <v>71</v>
      </c>
      <c r="G7" s="126" t="s">
        <v>74</v>
      </c>
      <c r="H7" s="157">
        <v>200</v>
      </c>
      <c r="I7" s="157">
        <f>'Udgifter (Forecast)'!H30/2</f>
        <v>100</v>
      </c>
      <c r="J7" s="140">
        <f t="shared" si="0"/>
        <v>1</v>
      </c>
      <c r="K7" s="142">
        <f t="shared" si="1"/>
        <v>20000</v>
      </c>
      <c r="L7" s="142">
        <f t="shared" si="2"/>
        <v>16000</v>
      </c>
      <c r="M7" s="142">
        <f t="shared" si="3"/>
        <v>20000</v>
      </c>
      <c r="N7" s="142">
        <f t="shared" si="4"/>
        <v>16000</v>
      </c>
      <c r="O7" s="158">
        <f>40/60</f>
        <v>0.666666666666667</v>
      </c>
      <c r="P7" s="146">
        <f>O7*I7</f>
        <v>66.6666666666667</v>
      </c>
      <c r="Q7" s="146">
        <f>N7-('Udgifter (Forecast)'!M25+'Udgifter (Forecast)'!M30+'Udgifter (Forecast)'!M32)</f>
        <v>6400</v>
      </c>
      <c r="R7" s="159">
        <f t="shared" si="5"/>
        <v>96</v>
      </c>
      <c r="S7" s="126">
        <v>2027</v>
      </c>
    </row>
    <row r="8" s="126" customFormat="1" spans="1:19">
      <c r="A8" s="126" t="s">
        <v>75</v>
      </c>
      <c r="B8" s="124">
        <v>46388</v>
      </c>
      <c r="C8" s="141">
        <f>EDATE(B8,12)</f>
        <v>46753</v>
      </c>
      <c r="D8" s="126" t="s">
        <v>72</v>
      </c>
      <c r="E8" s="126" t="s">
        <v>73</v>
      </c>
      <c r="F8" s="126" t="s">
        <v>75</v>
      </c>
      <c r="G8" s="126" t="s">
        <v>74</v>
      </c>
      <c r="H8" s="157">
        <v>2.5</v>
      </c>
      <c r="I8" s="145">
        <f>'Udgifter (Forecast)'!H31*250</f>
        <v>20500</v>
      </c>
      <c r="J8" s="140">
        <f>DATEDIF(B8,C8,"m")</f>
        <v>12</v>
      </c>
      <c r="K8" s="142">
        <f t="shared" si="1"/>
        <v>4270.83333333333</v>
      </c>
      <c r="L8" s="142">
        <f t="shared" si="2"/>
        <v>3416.66666666667</v>
      </c>
      <c r="M8" s="142">
        <f t="shared" si="3"/>
        <v>51250</v>
      </c>
      <c r="N8" s="142">
        <f t="shared" si="4"/>
        <v>41000</v>
      </c>
      <c r="O8" s="140">
        <f>3/60</f>
        <v>0.05</v>
      </c>
      <c r="P8" s="146">
        <f>O8*I8</f>
        <v>1025</v>
      </c>
      <c r="Q8" s="146">
        <f>N8-('Udgifter (Forecast)'!M23+'Udgifter (Forecast)'!M31+'Udgifter (Forecast)'!M33+'Udgifter (Forecast)'!M40+'Udgifter (Forecast)'!M42+'Udgifter (Forecast)'!M43)</f>
        <v>32172.12</v>
      </c>
      <c r="R8" s="159">
        <f t="shared" si="5"/>
        <v>31.3874341463415</v>
      </c>
      <c r="S8" s="126">
        <v>2027</v>
      </c>
    </row>
    <row r="9" s="126" customFormat="1" spans="1:19">
      <c r="A9" s="126" t="s">
        <v>76</v>
      </c>
      <c r="B9" s="124">
        <v>46722</v>
      </c>
      <c r="C9" s="141">
        <f>EDATE(B9,0)</f>
        <v>46722</v>
      </c>
      <c r="D9" s="126" t="s">
        <v>72</v>
      </c>
      <c r="E9" s="126" t="s">
        <v>73</v>
      </c>
      <c r="F9" s="126" t="s">
        <v>76</v>
      </c>
      <c r="G9" s="126" t="s">
        <v>74</v>
      </c>
      <c r="H9" s="157">
        <v>12000</v>
      </c>
      <c r="I9" s="117">
        <v>1</v>
      </c>
      <c r="J9" s="140">
        <f t="shared" ref="J9:J31" si="6">DATEDIF(B9,C9,"m")+1</f>
        <v>1</v>
      </c>
      <c r="K9" s="142">
        <f t="shared" si="1"/>
        <v>12000</v>
      </c>
      <c r="L9" s="142">
        <f t="shared" si="2"/>
        <v>9600</v>
      </c>
      <c r="M9" s="142">
        <f t="shared" si="3"/>
        <v>12000</v>
      </c>
      <c r="N9" s="142">
        <f t="shared" si="4"/>
        <v>9600</v>
      </c>
      <c r="O9" s="146">
        <f>160/10</f>
        <v>16</v>
      </c>
      <c r="P9" s="147">
        <f>(('Udgifter (Forecast)'!H35+'Udgifter (Forecast)'!H36)/2)*O9</f>
        <v>72</v>
      </c>
      <c r="Q9" s="146">
        <f>N9-('Udgifter (Forecast)'!M24+'Udgifter (Forecast)'!M29+'Udgifter (Forecast)'!M34+'Udgifter (Forecast)'!M35+'Udgifter (Forecast)'!M36)</f>
        <v>928</v>
      </c>
      <c r="R9" s="159">
        <f t="shared" si="5"/>
        <v>12.8888888888889</v>
      </c>
      <c r="S9" s="126">
        <v>2027</v>
      </c>
    </row>
    <row r="10" s="126" customFormat="1" spans="1:19">
      <c r="A10" s="126" t="s">
        <v>77</v>
      </c>
      <c r="B10" s="124">
        <v>46539</v>
      </c>
      <c r="C10" s="141">
        <f>EDATE(B10,3)</f>
        <v>46631</v>
      </c>
      <c r="D10" s="126" t="s">
        <v>72</v>
      </c>
      <c r="E10" s="126" t="s">
        <v>73</v>
      </c>
      <c r="F10" s="126" t="s">
        <v>77</v>
      </c>
      <c r="G10" s="126" t="s">
        <v>78</v>
      </c>
      <c r="H10" s="157">
        <v>50</v>
      </c>
      <c r="I10" s="117">
        <f>3500*0.6</f>
        <v>2100</v>
      </c>
      <c r="J10" s="140">
        <f t="shared" si="6"/>
        <v>4</v>
      </c>
      <c r="K10" s="142">
        <f t="shared" si="1"/>
        <v>26250</v>
      </c>
      <c r="L10" s="142">
        <f t="shared" si="2"/>
        <v>21000</v>
      </c>
      <c r="M10" s="142">
        <f t="shared" si="3"/>
        <v>105000</v>
      </c>
      <c r="N10" s="142">
        <f t="shared" si="4"/>
        <v>84000</v>
      </c>
      <c r="O10" s="140">
        <f>50/1000</f>
        <v>0.05</v>
      </c>
      <c r="P10" s="143">
        <f>O10*(I10/60%)</f>
        <v>175</v>
      </c>
      <c r="Q10" s="140">
        <f>N10-('Udgifter (Forecast)'!M37+'Udgifter (Forecast)'!M38)</f>
        <v>80928</v>
      </c>
      <c r="R10" s="159">
        <f t="shared" si="5"/>
        <v>462.445714285714</v>
      </c>
      <c r="S10" s="126">
        <v>2027</v>
      </c>
    </row>
    <row r="11" s="126" customFormat="1" spans="1:19">
      <c r="A11" s="126" t="s">
        <v>79</v>
      </c>
      <c r="B11" s="124">
        <v>46539</v>
      </c>
      <c r="C11" s="141">
        <f>EDATE(B11,3)</f>
        <v>46631</v>
      </c>
      <c r="D11" s="126" t="s">
        <v>72</v>
      </c>
      <c r="E11" s="126" t="s">
        <v>73</v>
      </c>
      <c r="F11" s="126" t="s">
        <v>79</v>
      </c>
      <c r="G11" s="126" t="s">
        <v>78</v>
      </c>
      <c r="H11" s="157">
        <v>12</v>
      </c>
      <c r="I11" s="117">
        <v>3000</v>
      </c>
      <c r="J11" s="140">
        <f t="shared" si="6"/>
        <v>4</v>
      </c>
      <c r="K11" s="142">
        <f t="shared" si="1"/>
        <v>9000</v>
      </c>
      <c r="L11" s="142">
        <f t="shared" si="2"/>
        <v>7200</v>
      </c>
      <c r="M11" s="142">
        <f t="shared" si="3"/>
        <v>36000</v>
      </c>
      <c r="N11" s="142">
        <f t="shared" si="4"/>
        <v>28800</v>
      </c>
      <c r="O11" s="158">
        <f>5/60</f>
        <v>0.0833333333333333</v>
      </c>
      <c r="P11" s="146">
        <f>O11*I11</f>
        <v>250</v>
      </c>
      <c r="Q11" s="140">
        <f>N11-('Udgifter (Forecast)'!M39+'Udgifter (Forecast)'!M41)</f>
        <v>27000</v>
      </c>
      <c r="R11" s="159">
        <f t="shared" si="5"/>
        <v>108</v>
      </c>
      <c r="S11" s="126">
        <v>2027</v>
      </c>
    </row>
    <row r="12" customFormat="1" spans="1:19">
      <c r="A12" s="125" t="s">
        <v>71</v>
      </c>
      <c r="B12" s="106">
        <f>B7+366</f>
        <v>47058</v>
      </c>
      <c r="C12" s="134">
        <f>EDATE(B12,0)</f>
        <v>47058</v>
      </c>
      <c r="D12" s="125" t="s">
        <v>72</v>
      </c>
      <c r="E12" s="125" t="s">
        <v>73</v>
      </c>
      <c r="F12" s="125" t="s">
        <v>71</v>
      </c>
      <c r="G12" s="125" t="s">
        <v>74</v>
      </c>
      <c r="H12" s="153">
        <v>175</v>
      </c>
      <c r="I12" s="153">
        <f>'Udgifter (Forecast)'!H51/2</f>
        <v>100</v>
      </c>
      <c r="J12" s="133">
        <f t="shared" si="6"/>
        <v>1</v>
      </c>
      <c r="K12" s="135">
        <f t="shared" si="1"/>
        <v>17500</v>
      </c>
      <c r="L12" s="135">
        <f t="shared" si="2"/>
        <v>14000</v>
      </c>
      <c r="M12" s="135">
        <f t="shared" si="3"/>
        <v>17500</v>
      </c>
      <c r="N12" s="135">
        <f t="shared" si="4"/>
        <v>14000</v>
      </c>
      <c r="O12" s="154">
        <f>40/60</f>
        <v>0.666666666666667</v>
      </c>
      <c r="P12" s="137">
        <f>O12*I12</f>
        <v>66.6666666666667</v>
      </c>
      <c r="Q12" s="137">
        <f>N12-('Udgifter (Forecast)'!M46+'Udgifter (Forecast)'!M51+'Udgifter (Forecast)'!M53)</f>
        <v>4400</v>
      </c>
      <c r="R12" s="155">
        <f t="shared" si="5"/>
        <v>66</v>
      </c>
      <c r="S12">
        <v>2028</v>
      </c>
    </row>
    <row r="13" customFormat="1" spans="1:19">
      <c r="A13" s="125" t="s">
        <v>75</v>
      </c>
      <c r="B13" s="106">
        <f>B8+366</f>
        <v>46754</v>
      </c>
      <c r="C13" s="134">
        <f>EDATE(B13,12)</f>
        <v>47120</v>
      </c>
      <c r="D13" s="125" t="s">
        <v>72</v>
      </c>
      <c r="E13" s="125" t="s">
        <v>73</v>
      </c>
      <c r="F13" s="125" t="s">
        <v>75</v>
      </c>
      <c r="G13" s="125" t="s">
        <v>74</v>
      </c>
      <c r="H13" s="153">
        <v>2.5</v>
      </c>
      <c r="I13" s="138">
        <f>'Udgifter (Forecast)'!H52*250</f>
        <v>45500</v>
      </c>
      <c r="J13" s="133">
        <f t="shared" si="6"/>
        <v>13</v>
      </c>
      <c r="K13" s="135">
        <f t="shared" si="1"/>
        <v>8750</v>
      </c>
      <c r="L13" s="135">
        <f t="shared" si="2"/>
        <v>7000</v>
      </c>
      <c r="M13" s="135">
        <f t="shared" si="3"/>
        <v>113750</v>
      </c>
      <c r="N13" s="135">
        <f t="shared" si="4"/>
        <v>91000</v>
      </c>
      <c r="O13" s="133">
        <f>3/60</f>
        <v>0.05</v>
      </c>
      <c r="P13" s="137">
        <f>O13*I13</f>
        <v>2275</v>
      </c>
      <c r="Q13" s="137">
        <f>N13-('Udgifter (Forecast)'!M44+'Udgifter (Forecast)'!M52+'Udgifter (Forecast)'!M54++'Udgifter (Forecast)'!M61+'Udgifter (Forecast)'!M63+'Udgifter (Forecast)'!M64)</f>
        <v>74938.12</v>
      </c>
      <c r="R13" s="155">
        <f t="shared" si="5"/>
        <v>32.939832967033</v>
      </c>
      <c r="S13">
        <v>2028</v>
      </c>
    </row>
    <row r="14" customFormat="1" spans="1:19">
      <c r="A14" s="125" t="s">
        <v>76</v>
      </c>
      <c r="B14" s="114">
        <f>B9+366</f>
        <v>47088</v>
      </c>
      <c r="C14" s="134">
        <f>EDATE(B14,0)</f>
        <v>47088</v>
      </c>
      <c r="D14" s="125" t="s">
        <v>72</v>
      </c>
      <c r="E14" s="125" t="s">
        <v>73</v>
      </c>
      <c r="F14" s="125" t="s">
        <v>76</v>
      </c>
      <c r="G14" s="125" t="s">
        <v>74</v>
      </c>
      <c r="H14" s="153">
        <v>12000</v>
      </c>
      <c r="I14" s="117">
        <v>1</v>
      </c>
      <c r="J14" s="133">
        <f t="shared" si="6"/>
        <v>1</v>
      </c>
      <c r="K14" s="135">
        <f t="shared" si="1"/>
        <v>12000</v>
      </c>
      <c r="L14" s="135">
        <f t="shared" si="2"/>
        <v>9600</v>
      </c>
      <c r="M14" s="135">
        <f t="shared" si="3"/>
        <v>12000</v>
      </c>
      <c r="N14" s="135">
        <f t="shared" si="4"/>
        <v>9600</v>
      </c>
      <c r="O14" s="137">
        <f>160/10</f>
        <v>16</v>
      </c>
      <c r="P14" s="147">
        <f>(('Udgifter (Forecast)'!H56+'Udgifter (Forecast)'!H57)/2)*O14</f>
        <v>104</v>
      </c>
      <c r="Q14" s="137">
        <f>N14-('Udgifter (Forecast)'!M45+'Udgifter (Forecast)'!M50+'Udgifter (Forecast)'!M55+'Udgifter (Forecast)'!M56+'Udgifter (Forecast)'!M57)</f>
        <v>-352</v>
      </c>
      <c r="R14" s="155">
        <f t="shared" si="5"/>
        <v>-3.38461538461538</v>
      </c>
      <c r="S14">
        <v>2028</v>
      </c>
    </row>
    <row r="15" customFormat="1" spans="1:19">
      <c r="A15" s="125" t="s">
        <v>77</v>
      </c>
      <c r="B15" s="106">
        <f>B10+366</f>
        <v>46905</v>
      </c>
      <c r="C15" s="134">
        <f>EDATE(B15,3)</f>
        <v>46997</v>
      </c>
      <c r="D15" s="125" t="s">
        <v>72</v>
      </c>
      <c r="E15" s="125" t="s">
        <v>73</v>
      </c>
      <c r="F15" s="125" t="s">
        <v>77</v>
      </c>
      <c r="G15" s="125" t="s">
        <v>78</v>
      </c>
      <c r="H15" s="153">
        <v>50</v>
      </c>
      <c r="I15" s="117">
        <f>3500*0.6</f>
        <v>2100</v>
      </c>
      <c r="J15" s="133">
        <f t="shared" si="6"/>
        <v>4</v>
      </c>
      <c r="K15" s="135">
        <f t="shared" si="1"/>
        <v>26250</v>
      </c>
      <c r="L15" s="135">
        <f t="shared" si="2"/>
        <v>21000</v>
      </c>
      <c r="M15" s="135">
        <f t="shared" si="3"/>
        <v>105000</v>
      </c>
      <c r="N15" s="135">
        <f t="shared" si="4"/>
        <v>84000</v>
      </c>
      <c r="O15" s="133">
        <f>50/1000</f>
        <v>0.05</v>
      </c>
      <c r="P15" s="136">
        <f>O15*(I15/60%)</f>
        <v>175</v>
      </c>
      <c r="Q15" s="137">
        <f>N15-('Udgifter (Forecast)'!M58+'Udgifter (Forecast)'!M59)</f>
        <v>80928</v>
      </c>
      <c r="R15" s="155">
        <f t="shared" si="5"/>
        <v>462.445714285714</v>
      </c>
      <c r="S15">
        <v>2028</v>
      </c>
    </row>
    <row r="16" customFormat="1" spans="1:19">
      <c r="A16" s="125" t="s">
        <v>79</v>
      </c>
      <c r="B16" s="106">
        <f>B11+366</f>
        <v>46905</v>
      </c>
      <c r="C16" s="134">
        <f>EDATE(B16,3)</f>
        <v>46997</v>
      </c>
      <c r="D16" s="125" t="s">
        <v>72</v>
      </c>
      <c r="E16" s="125" t="s">
        <v>73</v>
      </c>
      <c r="F16" s="125" t="s">
        <v>79</v>
      </c>
      <c r="G16" s="125" t="s">
        <v>78</v>
      </c>
      <c r="H16" s="153">
        <v>12</v>
      </c>
      <c r="I16" s="117">
        <v>3000</v>
      </c>
      <c r="J16" s="133">
        <f t="shared" si="6"/>
        <v>4</v>
      </c>
      <c r="K16" s="135">
        <f t="shared" si="1"/>
        <v>9000</v>
      </c>
      <c r="L16" s="135">
        <f t="shared" si="2"/>
        <v>7200</v>
      </c>
      <c r="M16" s="135">
        <f t="shared" si="3"/>
        <v>36000</v>
      </c>
      <c r="N16" s="135">
        <f t="shared" si="4"/>
        <v>28800</v>
      </c>
      <c r="O16" s="154">
        <f>5/60</f>
        <v>0.0833333333333333</v>
      </c>
      <c r="P16" s="137">
        <f>O16*I16</f>
        <v>250</v>
      </c>
      <c r="Q16" s="137">
        <f>N16-('Udgifter (Forecast)'!M60+'Udgifter (Forecast)'!M62)</f>
        <v>27000</v>
      </c>
      <c r="R16" s="155">
        <f t="shared" si="5"/>
        <v>108</v>
      </c>
      <c r="S16">
        <v>2028</v>
      </c>
    </row>
    <row r="17" customFormat="1" spans="1:19">
      <c r="A17" s="126" t="s">
        <v>71</v>
      </c>
      <c r="B17" s="160">
        <f t="shared" ref="B17:B31" si="7">B12+365</f>
        <v>47423</v>
      </c>
      <c r="C17" s="141">
        <f>EDATE(B17,0)</f>
        <v>47423</v>
      </c>
      <c r="D17" s="126" t="s">
        <v>72</v>
      </c>
      <c r="E17" s="126" t="s">
        <v>73</v>
      </c>
      <c r="F17" s="126" t="s">
        <v>71</v>
      </c>
      <c r="G17" s="126" t="s">
        <v>74</v>
      </c>
      <c r="H17" s="157">
        <v>200</v>
      </c>
      <c r="I17" s="157">
        <f>'Udgifter (Forecast)'!H72/2</f>
        <v>100</v>
      </c>
      <c r="J17" s="140">
        <f t="shared" si="6"/>
        <v>1</v>
      </c>
      <c r="K17" s="142">
        <f t="shared" si="1"/>
        <v>20000</v>
      </c>
      <c r="L17" s="142">
        <f t="shared" si="2"/>
        <v>16000</v>
      </c>
      <c r="M17" s="142">
        <f t="shared" si="3"/>
        <v>20000</v>
      </c>
      <c r="N17" s="142">
        <f t="shared" si="4"/>
        <v>16000</v>
      </c>
      <c r="O17" s="158">
        <f>40/60</f>
        <v>0.666666666666667</v>
      </c>
      <c r="P17" s="146">
        <f>O17*I17</f>
        <v>66.6666666666667</v>
      </c>
      <c r="Q17" s="146">
        <f>N17-('Udgifter (Forecast)'!M67+'Udgifter (Forecast)'!M72+'Udgifter (Forecast)'!M74)</f>
        <v>6400</v>
      </c>
      <c r="R17" s="159">
        <f t="shared" si="5"/>
        <v>96</v>
      </c>
      <c r="S17" s="126">
        <v>2029</v>
      </c>
    </row>
    <row r="18" customFormat="1" spans="1:19">
      <c r="A18" s="126" t="s">
        <v>75</v>
      </c>
      <c r="B18" s="160">
        <f t="shared" si="7"/>
        <v>47119</v>
      </c>
      <c r="C18" s="141">
        <f>EDATE(B18,12)</f>
        <v>47484</v>
      </c>
      <c r="D18" s="126" t="s">
        <v>72</v>
      </c>
      <c r="E18" s="126" t="s">
        <v>73</v>
      </c>
      <c r="F18" s="126" t="s">
        <v>75</v>
      </c>
      <c r="G18" s="126" t="s">
        <v>74</v>
      </c>
      <c r="H18" s="157">
        <v>2.5</v>
      </c>
      <c r="I18" s="145">
        <f>'Udgifter (Forecast)'!H73*250</f>
        <v>70500</v>
      </c>
      <c r="J18" s="140">
        <f t="shared" si="6"/>
        <v>13</v>
      </c>
      <c r="K18" s="142">
        <f t="shared" si="1"/>
        <v>13557.6923076923</v>
      </c>
      <c r="L18" s="142">
        <f t="shared" si="2"/>
        <v>10846.1538461538</v>
      </c>
      <c r="M18" s="142">
        <f t="shared" si="3"/>
        <v>176250</v>
      </c>
      <c r="N18" s="142">
        <f t="shared" si="4"/>
        <v>141000</v>
      </c>
      <c r="O18" s="140">
        <f>3/60</f>
        <v>0.05</v>
      </c>
      <c r="P18" s="146">
        <f>O18*I18</f>
        <v>3525</v>
      </c>
      <c r="Q18" s="146">
        <f>N18-('Udgifter (Forecast)'!M65+'Udgifter (Forecast)'!M73+'Udgifter (Forecast)'!M75+'Udgifter (Forecast)'!M82+'Udgifter (Forecast)'!M84+'Udgifter (Forecast)'!M85)</f>
        <v>117704.12</v>
      </c>
      <c r="R18" s="159">
        <f t="shared" si="5"/>
        <v>33.3912397163121</v>
      </c>
      <c r="S18" s="126">
        <v>2029</v>
      </c>
    </row>
    <row r="19" spans="1:19">
      <c r="A19" s="126" t="s">
        <v>76</v>
      </c>
      <c r="B19" s="114">
        <f t="shared" si="7"/>
        <v>47453</v>
      </c>
      <c r="C19" s="141">
        <f>EDATE(B19,0)</f>
        <v>47453</v>
      </c>
      <c r="D19" s="126" t="s">
        <v>72</v>
      </c>
      <c r="E19" s="126" t="s">
        <v>73</v>
      </c>
      <c r="F19" s="126" t="s">
        <v>76</v>
      </c>
      <c r="G19" s="126" t="s">
        <v>74</v>
      </c>
      <c r="H19" s="157">
        <v>12000</v>
      </c>
      <c r="I19" s="117">
        <v>1</v>
      </c>
      <c r="J19" s="140">
        <f t="shared" si="6"/>
        <v>1</v>
      </c>
      <c r="K19" s="142">
        <f t="shared" si="1"/>
        <v>12000</v>
      </c>
      <c r="L19" s="142">
        <f t="shared" si="2"/>
        <v>9600</v>
      </c>
      <c r="M19" s="142">
        <f t="shared" si="3"/>
        <v>12000</v>
      </c>
      <c r="N19" s="142">
        <f t="shared" si="4"/>
        <v>9600</v>
      </c>
      <c r="O19" s="146">
        <f>160/10</f>
        <v>16</v>
      </c>
      <c r="P19" s="147">
        <f>(('Udgifter (Forecast)'!H77+'Udgifter (Forecast)'!H78)/2)*O19</f>
        <v>152</v>
      </c>
      <c r="Q19" s="140">
        <f>N19-('Udgifter (Forecast)'!M66+'Udgifter (Forecast)'!M71+'Udgifter (Forecast)'!M76+'Udgifter (Forecast)'!M77+'Udgifter (Forecast)'!M78)</f>
        <v>-2272</v>
      </c>
      <c r="R19" s="159">
        <f t="shared" si="5"/>
        <v>-14.9473684210526</v>
      </c>
      <c r="S19" s="126">
        <v>2029</v>
      </c>
    </row>
    <row r="20" spans="1:19">
      <c r="A20" s="126" t="s">
        <v>77</v>
      </c>
      <c r="B20" s="160">
        <f t="shared" si="7"/>
        <v>47270</v>
      </c>
      <c r="C20" s="141">
        <f>EDATE(B20,3)</f>
        <v>47362</v>
      </c>
      <c r="D20" s="126" t="s">
        <v>72</v>
      </c>
      <c r="E20" s="126" t="s">
        <v>73</v>
      </c>
      <c r="F20" s="126" t="s">
        <v>77</v>
      </c>
      <c r="G20" s="126" t="s">
        <v>78</v>
      </c>
      <c r="H20" s="157">
        <v>50</v>
      </c>
      <c r="I20" s="117">
        <f>3500*0.6</f>
        <v>2100</v>
      </c>
      <c r="J20" s="140">
        <f t="shared" si="6"/>
        <v>4</v>
      </c>
      <c r="K20" s="142">
        <f t="shared" si="1"/>
        <v>26250</v>
      </c>
      <c r="L20" s="142">
        <f t="shared" si="2"/>
        <v>21000</v>
      </c>
      <c r="M20" s="142">
        <f t="shared" si="3"/>
        <v>105000</v>
      </c>
      <c r="N20" s="142">
        <f t="shared" si="4"/>
        <v>84000</v>
      </c>
      <c r="O20" s="140">
        <f>50/1000</f>
        <v>0.05</v>
      </c>
      <c r="P20" s="143">
        <f>O20*(I20/60%)</f>
        <v>175</v>
      </c>
      <c r="Q20" s="140">
        <f>N20-('Udgifter (Forecast)'!M79+'Udgifter (Forecast)'!M80)</f>
        <v>80928</v>
      </c>
      <c r="R20" s="159">
        <f t="shared" si="5"/>
        <v>462.445714285714</v>
      </c>
      <c r="S20" s="126">
        <v>2029</v>
      </c>
    </row>
    <row r="21" spans="1:19">
      <c r="A21" s="126" t="s">
        <v>79</v>
      </c>
      <c r="B21" s="160">
        <f t="shared" si="7"/>
        <v>47270</v>
      </c>
      <c r="C21" s="141">
        <f>EDATE(B21,3)</f>
        <v>47362</v>
      </c>
      <c r="D21" s="126" t="s">
        <v>72</v>
      </c>
      <c r="E21" s="126" t="s">
        <v>73</v>
      </c>
      <c r="F21" s="126" t="s">
        <v>79</v>
      </c>
      <c r="G21" s="126" t="s">
        <v>78</v>
      </c>
      <c r="H21" s="157">
        <v>12</v>
      </c>
      <c r="I21" s="117">
        <v>3000</v>
      </c>
      <c r="J21" s="140">
        <f t="shared" si="6"/>
        <v>4</v>
      </c>
      <c r="K21" s="142">
        <f t="shared" si="1"/>
        <v>9000</v>
      </c>
      <c r="L21" s="142">
        <f t="shared" si="2"/>
        <v>7200</v>
      </c>
      <c r="M21" s="142">
        <f t="shared" si="3"/>
        <v>36000</v>
      </c>
      <c r="N21" s="142">
        <f t="shared" si="4"/>
        <v>28800</v>
      </c>
      <c r="O21" s="158">
        <f>5/60</f>
        <v>0.0833333333333333</v>
      </c>
      <c r="P21" s="146">
        <f>O21*I21</f>
        <v>250</v>
      </c>
      <c r="Q21" s="140">
        <f>N21-('Udgifter (Forecast)'!M81+'Udgifter (Forecast)'!M83)</f>
        <v>27000</v>
      </c>
      <c r="R21" s="159">
        <f t="shared" si="5"/>
        <v>108</v>
      </c>
      <c r="S21" s="126">
        <v>2029</v>
      </c>
    </row>
    <row r="22" spans="1:19">
      <c r="A22" s="125" t="s">
        <v>71</v>
      </c>
      <c r="B22" s="152">
        <f t="shared" si="7"/>
        <v>47788</v>
      </c>
      <c r="C22" s="134">
        <f t="shared" ref="C22:C27" si="8">EDATE(B22,0)</f>
        <v>47788</v>
      </c>
      <c r="D22" s="125" t="s">
        <v>72</v>
      </c>
      <c r="E22" s="125" t="s">
        <v>73</v>
      </c>
      <c r="F22" s="125" t="s">
        <v>71</v>
      </c>
      <c r="G22" s="125" t="s">
        <v>74</v>
      </c>
      <c r="H22" s="153">
        <v>200</v>
      </c>
      <c r="I22" s="153">
        <f>'Udgifter (Forecast)'!H93/2</f>
        <v>100</v>
      </c>
      <c r="J22" s="133">
        <f t="shared" si="6"/>
        <v>1</v>
      </c>
      <c r="K22" s="135">
        <f t="shared" si="1"/>
        <v>20000</v>
      </c>
      <c r="L22" s="135">
        <f t="shared" si="2"/>
        <v>16000</v>
      </c>
      <c r="M22" s="135">
        <f t="shared" si="3"/>
        <v>20000</v>
      </c>
      <c r="N22" s="135">
        <f t="shared" si="4"/>
        <v>16000</v>
      </c>
      <c r="O22" s="154">
        <f>40/60</f>
        <v>0.666666666666667</v>
      </c>
      <c r="P22" s="137">
        <f t="shared" ref="P22:P28" si="9">O22*I22</f>
        <v>66.6666666666667</v>
      </c>
      <c r="Q22" s="137">
        <f>N22-('Udgifter (Forecast)'!M88+'Udgifter (Forecast)'!M93+'Udgifter (Forecast)'!M95)</f>
        <v>6400</v>
      </c>
      <c r="R22" s="155">
        <f t="shared" si="5"/>
        <v>96</v>
      </c>
      <c r="S22" s="125">
        <v>2030</v>
      </c>
    </row>
    <row r="23" spans="1:19">
      <c r="A23" s="125" t="s">
        <v>75</v>
      </c>
      <c r="B23" s="152">
        <f t="shared" si="7"/>
        <v>47484</v>
      </c>
      <c r="C23" s="134">
        <f>EDATE(B23,12)</f>
        <v>47849</v>
      </c>
      <c r="D23" s="125" t="s">
        <v>72</v>
      </c>
      <c r="E23" s="125" t="s">
        <v>73</v>
      </c>
      <c r="F23" s="125" t="s">
        <v>75</v>
      </c>
      <c r="G23" s="125" t="s">
        <v>74</v>
      </c>
      <c r="H23" s="153">
        <v>2.5</v>
      </c>
      <c r="I23" s="138">
        <f>'Udgifter (Forecast)'!H94*250</f>
        <v>75000</v>
      </c>
      <c r="J23" s="133">
        <f t="shared" si="6"/>
        <v>13</v>
      </c>
      <c r="K23" s="135">
        <f t="shared" si="1"/>
        <v>14423.0769230769</v>
      </c>
      <c r="L23" s="135">
        <f t="shared" si="2"/>
        <v>11538.4615384615</v>
      </c>
      <c r="M23" s="135">
        <f t="shared" si="3"/>
        <v>187500</v>
      </c>
      <c r="N23" s="135">
        <f t="shared" si="4"/>
        <v>150000</v>
      </c>
      <c r="O23" s="133">
        <f>3/60</f>
        <v>0.05</v>
      </c>
      <c r="P23" s="137">
        <f t="shared" si="9"/>
        <v>3750</v>
      </c>
      <c r="Q23" s="137">
        <f>N23-('Udgifter (Forecast)'!M86+'Udgifter (Forecast)'!M94+'Udgifter (Forecast)'!M96+'Udgifter (Forecast)'!M103+'Udgifter (Forecast)'!M105+'Udgifter (Forecast)'!M106)</f>
        <v>125402</v>
      </c>
      <c r="R23" s="155">
        <f t="shared" si="5"/>
        <v>33.4405333333333</v>
      </c>
      <c r="S23" s="125">
        <v>2030</v>
      </c>
    </row>
    <row r="24" spans="1:19">
      <c r="A24" s="125" t="s">
        <v>76</v>
      </c>
      <c r="B24" s="114">
        <f t="shared" si="7"/>
        <v>47818</v>
      </c>
      <c r="C24" s="134">
        <f t="shared" si="8"/>
        <v>47818</v>
      </c>
      <c r="D24" s="125" t="s">
        <v>72</v>
      </c>
      <c r="E24" s="125" t="s">
        <v>73</v>
      </c>
      <c r="F24" s="125" t="s">
        <v>76</v>
      </c>
      <c r="G24" s="125" t="s">
        <v>74</v>
      </c>
      <c r="H24" s="153">
        <v>12000</v>
      </c>
      <c r="I24" s="117">
        <v>3</v>
      </c>
      <c r="J24" s="133">
        <f t="shared" si="6"/>
        <v>1</v>
      </c>
      <c r="K24" s="135">
        <f t="shared" si="1"/>
        <v>36000</v>
      </c>
      <c r="L24" s="135">
        <f t="shared" si="2"/>
        <v>28800</v>
      </c>
      <c r="M24" s="135">
        <f t="shared" si="3"/>
        <v>36000</v>
      </c>
      <c r="N24" s="135">
        <f t="shared" si="4"/>
        <v>28800</v>
      </c>
      <c r="O24" s="137">
        <f>160/10</f>
        <v>16</v>
      </c>
      <c r="P24" s="147">
        <f>(('Udgifter (Forecast)'!H98+'Udgifter (Forecast)'!H99)/2)*O24</f>
        <v>200</v>
      </c>
      <c r="Q24" s="137">
        <f>N24-('Udgifter (Forecast)'!M87+'Udgifter (Forecast)'!M92+'Udgifter (Forecast)'!M97+'Udgifter (Forecast)'!M98+'Udgifter (Forecast)'!M99)</f>
        <v>6208</v>
      </c>
      <c r="R24" s="155">
        <f t="shared" si="5"/>
        <v>31.04</v>
      </c>
      <c r="S24" s="125">
        <v>2030</v>
      </c>
    </row>
    <row r="25" spans="1:19">
      <c r="A25" s="125" t="s">
        <v>77</v>
      </c>
      <c r="B25" s="152">
        <f t="shared" si="7"/>
        <v>47635</v>
      </c>
      <c r="C25" s="134">
        <f t="shared" ref="C25:C31" si="10">EDATE(B25,3)</f>
        <v>47727</v>
      </c>
      <c r="D25" s="125" t="s">
        <v>72</v>
      </c>
      <c r="E25" s="125" t="s">
        <v>73</v>
      </c>
      <c r="F25" s="125" t="s">
        <v>77</v>
      </c>
      <c r="G25" s="125" t="s">
        <v>78</v>
      </c>
      <c r="H25" s="153">
        <v>50</v>
      </c>
      <c r="I25" s="117">
        <f>3500*0.6</f>
        <v>2100</v>
      </c>
      <c r="J25" s="133">
        <f t="shared" si="6"/>
        <v>4</v>
      </c>
      <c r="K25" s="135">
        <f t="shared" si="1"/>
        <v>26250</v>
      </c>
      <c r="L25" s="135">
        <f t="shared" si="2"/>
        <v>21000</v>
      </c>
      <c r="M25" s="135">
        <f t="shared" si="3"/>
        <v>105000</v>
      </c>
      <c r="N25" s="135">
        <f t="shared" si="4"/>
        <v>84000</v>
      </c>
      <c r="O25" s="133">
        <f>50/1000</f>
        <v>0.05</v>
      </c>
      <c r="P25" s="136">
        <f>O25*(I25/60%)</f>
        <v>175</v>
      </c>
      <c r="Q25" s="137">
        <f>N25-('Udgifter (Forecast)'!M100+'Udgifter (Forecast)'!M101)</f>
        <v>80928</v>
      </c>
      <c r="R25" s="155">
        <f t="shared" si="5"/>
        <v>462.445714285714</v>
      </c>
      <c r="S25" s="125">
        <v>2030</v>
      </c>
    </row>
    <row r="26" spans="1:19">
      <c r="A26" s="125" t="s">
        <v>79</v>
      </c>
      <c r="B26" s="152">
        <f t="shared" si="7"/>
        <v>47635</v>
      </c>
      <c r="C26" s="134">
        <f t="shared" si="10"/>
        <v>47727</v>
      </c>
      <c r="D26" s="125" t="s">
        <v>72</v>
      </c>
      <c r="E26" s="125" t="s">
        <v>73</v>
      </c>
      <c r="F26" s="125" t="s">
        <v>79</v>
      </c>
      <c r="G26" s="125" t="s">
        <v>78</v>
      </c>
      <c r="H26" s="153">
        <v>12</v>
      </c>
      <c r="I26" s="117">
        <v>3000</v>
      </c>
      <c r="J26" s="133">
        <f t="shared" si="6"/>
        <v>4</v>
      </c>
      <c r="K26" s="135">
        <f t="shared" si="1"/>
        <v>9000</v>
      </c>
      <c r="L26" s="135">
        <f t="shared" si="2"/>
        <v>7200</v>
      </c>
      <c r="M26" s="135">
        <f t="shared" si="3"/>
        <v>36000</v>
      </c>
      <c r="N26" s="135">
        <f t="shared" si="4"/>
        <v>28800</v>
      </c>
      <c r="O26" s="154">
        <f>5/60</f>
        <v>0.0833333333333333</v>
      </c>
      <c r="P26" s="137">
        <f t="shared" si="9"/>
        <v>250</v>
      </c>
      <c r="Q26" s="137">
        <f>N26-('Udgifter (Forecast)'!M102+'Udgifter (Forecast)'!M104)</f>
        <v>27000</v>
      </c>
      <c r="R26" s="155">
        <f t="shared" si="5"/>
        <v>108</v>
      </c>
      <c r="S26" s="125">
        <v>2030</v>
      </c>
    </row>
    <row r="27" spans="1:19">
      <c r="A27" s="126" t="s">
        <v>71</v>
      </c>
      <c r="B27" s="160">
        <f t="shared" si="7"/>
        <v>48153</v>
      </c>
      <c r="C27" s="141">
        <f t="shared" si="8"/>
        <v>48153</v>
      </c>
      <c r="D27" s="126" t="s">
        <v>72</v>
      </c>
      <c r="E27" s="126" t="s">
        <v>73</v>
      </c>
      <c r="F27" s="126" t="s">
        <v>71</v>
      </c>
      <c r="G27" s="126" t="s">
        <v>74</v>
      </c>
      <c r="H27" s="157">
        <v>200</v>
      </c>
      <c r="I27" s="157">
        <f>'Udgifter (Forecast)'!H114/2</f>
        <v>100</v>
      </c>
      <c r="J27" s="140">
        <f t="shared" si="6"/>
        <v>1</v>
      </c>
      <c r="K27" s="142">
        <f t="shared" si="1"/>
        <v>20000</v>
      </c>
      <c r="L27" s="142">
        <f t="shared" si="2"/>
        <v>16000</v>
      </c>
      <c r="M27" s="142">
        <f t="shared" si="3"/>
        <v>20000</v>
      </c>
      <c r="N27" s="142">
        <f t="shared" si="4"/>
        <v>16000</v>
      </c>
      <c r="O27" s="158">
        <f>40/60</f>
        <v>0.666666666666667</v>
      </c>
      <c r="P27" s="146">
        <f t="shared" si="9"/>
        <v>66.6666666666667</v>
      </c>
      <c r="Q27" s="146">
        <f>N27-('Udgifter (Forecast)'!M77+'Udgifter (Forecast)'!M82+'Udgifter (Forecast)'!M84)</f>
        <v>1227</v>
      </c>
      <c r="R27" s="159">
        <f t="shared" si="5"/>
        <v>18.405</v>
      </c>
      <c r="S27" s="126">
        <v>2031</v>
      </c>
    </row>
    <row r="28" spans="1:19">
      <c r="A28" s="126" t="s">
        <v>75</v>
      </c>
      <c r="B28" s="160">
        <f t="shared" si="7"/>
        <v>47849</v>
      </c>
      <c r="C28" s="141">
        <f>EDATE(B28,12)</f>
        <v>48214</v>
      </c>
      <c r="D28" s="126" t="s">
        <v>72</v>
      </c>
      <c r="E28" s="126" t="s">
        <v>73</v>
      </c>
      <c r="F28" s="126" t="s">
        <v>75</v>
      </c>
      <c r="G28" s="126" t="s">
        <v>74</v>
      </c>
      <c r="H28" s="157">
        <v>2.5</v>
      </c>
      <c r="I28" s="145">
        <f>'Udgifter (Forecast)'!H115*250</f>
        <v>75000</v>
      </c>
      <c r="J28" s="140">
        <f t="shared" si="6"/>
        <v>13</v>
      </c>
      <c r="K28" s="142">
        <f t="shared" si="1"/>
        <v>14423.0769230769</v>
      </c>
      <c r="L28" s="142">
        <f t="shared" si="2"/>
        <v>11538.4615384615</v>
      </c>
      <c r="M28" s="142">
        <f t="shared" si="3"/>
        <v>187500</v>
      </c>
      <c r="N28" s="142">
        <f t="shared" si="4"/>
        <v>150000</v>
      </c>
      <c r="O28" s="140">
        <f>3/60</f>
        <v>0.05</v>
      </c>
      <c r="P28" s="146">
        <f t="shared" si="9"/>
        <v>3750</v>
      </c>
      <c r="Q28" s="146">
        <f>N28-('Udgifter (Forecast)'!M75+'Udgifter (Forecast)'!M83+'Udgifter (Forecast)'!M85+'Udgifter (Forecast)'!M92+'Udgifter (Forecast)'!M94+'Udgifter (Forecast)'!M95)</f>
        <v>136038.4</v>
      </c>
      <c r="R28" s="159">
        <f t="shared" si="5"/>
        <v>36.2769066666667</v>
      </c>
      <c r="S28" s="126">
        <v>2031</v>
      </c>
    </row>
    <row r="29" spans="1:19">
      <c r="A29" s="126" t="s">
        <v>76</v>
      </c>
      <c r="B29" s="114">
        <f t="shared" si="7"/>
        <v>48183</v>
      </c>
      <c r="C29" s="141">
        <f>EDATE(B29,0)</f>
        <v>48183</v>
      </c>
      <c r="D29" s="126" t="s">
        <v>72</v>
      </c>
      <c r="E29" s="126" t="s">
        <v>73</v>
      </c>
      <c r="F29" s="126" t="s">
        <v>76</v>
      </c>
      <c r="G29" s="126" t="s">
        <v>74</v>
      </c>
      <c r="H29" s="157">
        <v>12000</v>
      </c>
      <c r="I29" s="117"/>
      <c r="J29" s="140">
        <f t="shared" si="6"/>
        <v>1</v>
      </c>
      <c r="K29" s="142">
        <f t="shared" si="1"/>
        <v>0</v>
      </c>
      <c r="L29" s="142">
        <f t="shared" si="2"/>
        <v>0</v>
      </c>
      <c r="M29" s="142">
        <f t="shared" si="3"/>
        <v>0</v>
      </c>
      <c r="N29" s="142">
        <f t="shared" si="4"/>
        <v>0</v>
      </c>
      <c r="O29" s="146">
        <f>160/10</f>
        <v>16</v>
      </c>
      <c r="P29" s="147">
        <f>(('Udgifter (Forecast)'!H87+'Udgifter (Forecast)'!H88)/2)*O29</f>
        <v>3968</v>
      </c>
      <c r="Q29" s="140">
        <f>N29-('Udgifter (Forecast)'!M76+'Udgifter (Forecast)'!M81+'Udgifter (Forecast)'!M86+'Udgifter (Forecast)'!M87+'Udgifter (Forecast)'!M88)</f>
        <v>-6888</v>
      </c>
      <c r="R29" s="159">
        <f t="shared" si="5"/>
        <v>-1.73588709677419</v>
      </c>
      <c r="S29" s="126">
        <v>2031</v>
      </c>
    </row>
    <row r="30" spans="1:19">
      <c r="A30" s="126" t="s">
        <v>77</v>
      </c>
      <c r="B30" s="160">
        <f t="shared" si="7"/>
        <v>48000</v>
      </c>
      <c r="C30" s="141">
        <f t="shared" si="10"/>
        <v>48092</v>
      </c>
      <c r="D30" s="126" t="s">
        <v>72</v>
      </c>
      <c r="E30" s="126" t="s">
        <v>73</v>
      </c>
      <c r="F30" s="126" t="s">
        <v>77</v>
      </c>
      <c r="G30" s="126" t="s">
        <v>78</v>
      </c>
      <c r="H30" s="157">
        <v>50</v>
      </c>
      <c r="I30" s="117">
        <f>3500*0.6</f>
        <v>2100</v>
      </c>
      <c r="J30" s="140">
        <f t="shared" si="6"/>
        <v>4</v>
      </c>
      <c r="K30" s="142">
        <f t="shared" si="1"/>
        <v>26250</v>
      </c>
      <c r="L30" s="142">
        <f t="shared" si="2"/>
        <v>21000</v>
      </c>
      <c r="M30" s="142">
        <f t="shared" si="3"/>
        <v>105000</v>
      </c>
      <c r="N30" s="142">
        <f t="shared" si="4"/>
        <v>84000</v>
      </c>
      <c r="O30" s="140">
        <f>50/1000</f>
        <v>0.05</v>
      </c>
      <c r="P30" s="143">
        <f>O30*(I30/60%)</f>
        <v>175</v>
      </c>
      <c r="Q30" s="140">
        <f>N30-('Udgifter (Forecast)'!M89+'Udgifter (Forecast)'!M90)</f>
        <v>79972.8</v>
      </c>
      <c r="R30" s="159">
        <f t="shared" si="5"/>
        <v>456.987428571429</v>
      </c>
      <c r="S30" s="126">
        <v>2031</v>
      </c>
    </row>
    <row r="31" spans="1:19">
      <c r="A31" s="126" t="s">
        <v>79</v>
      </c>
      <c r="B31" s="160">
        <f t="shared" si="7"/>
        <v>48000</v>
      </c>
      <c r="C31" s="141">
        <f t="shared" si="10"/>
        <v>48092</v>
      </c>
      <c r="D31" s="126" t="s">
        <v>72</v>
      </c>
      <c r="E31" s="126" t="s">
        <v>73</v>
      </c>
      <c r="F31" s="126" t="s">
        <v>79</v>
      </c>
      <c r="G31" s="126" t="s">
        <v>78</v>
      </c>
      <c r="H31" s="157">
        <v>12</v>
      </c>
      <c r="I31" s="117">
        <v>3000</v>
      </c>
      <c r="J31" s="140">
        <f t="shared" si="6"/>
        <v>4</v>
      </c>
      <c r="K31" s="142">
        <f t="shared" si="1"/>
        <v>9000</v>
      </c>
      <c r="L31" s="142">
        <f t="shared" si="2"/>
        <v>7200</v>
      </c>
      <c r="M31" s="142">
        <f t="shared" si="3"/>
        <v>36000</v>
      </c>
      <c r="N31" s="142">
        <f t="shared" si="4"/>
        <v>28800</v>
      </c>
      <c r="O31" s="158">
        <f>5/60</f>
        <v>0.0833333333333333</v>
      </c>
      <c r="P31" s="146">
        <f>O31*I31</f>
        <v>250</v>
      </c>
      <c r="Q31" s="140">
        <f>N31-('Udgifter (Forecast)'!M91+'Udgifter (Forecast)'!M93)</f>
        <v>17120</v>
      </c>
      <c r="R31" s="159">
        <f t="shared" si="5"/>
        <v>68.48</v>
      </c>
      <c r="S31" s="126">
        <v>2031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FF00"/>
  </sheetPr>
  <dimension ref="A1:N127"/>
  <sheetViews>
    <sheetView workbookViewId="0">
      <pane ySplit="1" topLeftCell="A83" activePane="bottomLeft" state="frozen"/>
      <selection/>
      <selection pane="bottomLeft" activeCell="H72" sqref="H72"/>
    </sheetView>
  </sheetViews>
  <sheetFormatPr defaultColWidth="9.14285714285714" defaultRowHeight="12.75"/>
  <cols>
    <col min="1" max="1" width="38.5714285714286" style="3" customWidth="1"/>
    <col min="2" max="2" width="14.5714285714286" style="115" customWidth="1"/>
    <col min="3" max="3" width="12.2857142857143" style="115" customWidth="1"/>
    <col min="4" max="4" width="15.7142857142857" style="3" customWidth="1"/>
    <col min="5" max="5" width="13.7142857142857" style="3" customWidth="1"/>
    <col min="6" max="6" width="17.8571428571429" style="3" customWidth="1"/>
    <col min="7" max="7" width="16" style="3" customWidth="1"/>
    <col min="8" max="8" width="12.1428571428571" style="127" customWidth="1"/>
    <col min="9" max="9" width="15.8571428571429" style="3" customWidth="1"/>
    <col min="10" max="10" width="13.2857142857143" style="3" customWidth="1"/>
    <col min="11" max="11" width="14" style="123" customWidth="1"/>
    <col min="12" max="12" width="13" style="3" customWidth="1"/>
    <col min="13" max="13" width="12.8571428571429" style="3" customWidth="1"/>
  </cols>
  <sheetData>
    <row r="1" ht="25.5" spans="1:14">
      <c r="A1" s="128" t="s">
        <v>53</v>
      </c>
      <c r="B1" s="129" t="s">
        <v>54</v>
      </c>
      <c r="C1" s="129" t="s">
        <v>55</v>
      </c>
      <c r="D1" s="130" t="s">
        <v>57</v>
      </c>
      <c r="E1" s="128" t="s">
        <v>1</v>
      </c>
      <c r="F1" s="128" t="s">
        <v>58</v>
      </c>
      <c r="G1" s="130" t="s">
        <v>59</v>
      </c>
      <c r="H1" s="131" t="s">
        <v>60</v>
      </c>
      <c r="I1" s="130" t="s">
        <v>80</v>
      </c>
      <c r="J1" s="130" t="s">
        <v>81</v>
      </c>
      <c r="K1" s="132" t="s">
        <v>82</v>
      </c>
      <c r="L1" s="130" t="s">
        <v>83</v>
      </c>
      <c r="M1" s="132" t="s">
        <v>84</v>
      </c>
      <c r="N1" s="109" t="s">
        <v>70</v>
      </c>
    </row>
    <row r="2" s="125" customFormat="1" spans="1:14">
      <c r="A2" s="133" t="s">
        <v>85</v>
      </c>
      <c r="B2" s="134">
        <v>46023</v>
      </c>
      <c r="C2" s="134">
        <f>EDATE(B2,12)</f>
        <v>46388</v>
      </c>
      <c r="D2" s="133" t="s">
        <v>86</v>
      </c>
      <c r="E2" s="133" t="s">
        <v>75</v>
      </c>
      <c r="F2" s="133" t="s">
        <v>87</v>
      </c>
      <c r="G2" s="135">
        <v>2.5</v>
      </c>
      <c r="H2" s="136">
        <f>4*12</f>
        <v>48</v>
      </c>
      <c r="I2" s="133">
        <f t="shared" ref="I2:I18" si="0">DATEDIF(B2,C2,"m")</f>
        <v>12</v>
      </c>
      <c r="J2" s="135">
        <f t="shared" ref="J2:J18" si="1">H2*G2/I2</f>
        <v>10</v>
      </c>
      <c r="K2" s="135">
        <f t="shared" ref="K2:K8" si="2">J2-(J2/5)</f>
        <v>8</v>
      </c>
      <c r="L2" s="133">
        <f t="shared" ref="L2:L11" si="3">J2*I2</f>
        <v>120</v>
      </c>
      <c r="M2" s="133">
        <f t="shared" ref="M2:M11" si="4">K2*I2</f>
        <v>96</v>
      </c>
      <c r="N2" s="125">
        <v>2026</v>
      </c>
    </row>
    <row r="3" s="125" customFormat="1" spans="1:14">
      <c r="A3" s="133" t="s">
        <v>88</v>
      </c>
      <c r="B3" s="134">
        <v>46023</v>
      </c>
      <c r="C3" s="134">
        <f>EDATE(B3,12)</f>
        <v>46388</v>
      </c>
      <c r="D3" s="133" t="s">
        <v>86</v>
      </c>
      <c r="E3" s="133" t="s">
        <v>76</v>
      </c>
      <c r="F3" s="133" t="s">
        <v>87</v>
      </c>
      <c r="G3" s="135">
        <v>2.5</v>
      </c>
      <c r="H3" s="136">
        <f>8*12</f>
        <v>96</v>
      </c>
      <c r="I3" s="133">
        <f t="shared" si="0"/>
        <v>12</v>
      </c>
      <c r="J3" s="135">
        <f t="shared" si="1"/>
        <v>20</v>
      </c>
      <c r="K3" s="135">
        <f t="shared" si="2"/>
        <v>16</v>
      </c>
      <c r="L3" s="133">
        <f t="shared" si="3"/>
        <v>240</v>
      </c>
      <c r="M3" s="133">
        <f t="shared" si="4"/>
        <v>192</v>
      </c>
      <c r="N3" s="125">
        <v>2026</v>
      </c>
    </row>
    <row r="4" s="125" customFormat="1" spans="1:14">
      <c r="A4" s="133" t="s">
        <v>89</v>
      </c>
      <c r="B4" s="134">
        <v>46174</v>
      </c>
      <c r="C4" s="134">
        <f>EDATE(B4,2)</f>
        <v>46235</v>
      </c>
      <c r="D4" s="133" t="s">
        <v>86</v>
      </c>
      <c r="E4" s="133" t="s">
        <v>71</v>
      </c>
      <c r="F4" s="133" t="s">
        <v>87</v>
      </c>
      <c r="G4" s="135">
        <v>2.5</v>
      </c>
      <c r="H4" s="136">
        <v>400</v>
      </c>
      <c r="I4" s="133">
        <f t="shared" si="0"/>
        <v>2</v>
      </c>
      <c r="J4" s="135">
        <f t="shared" si="1"/>
        <v>500</v>
      </c>
      <c r="K4" s="135">
        <f t="shared" si="2"/>
        <v>400</v>
      </c>
      <c r="L4" s="133">
        <f t="shared" si="3"/>
        <v>1000</v>
      </c>
      <c r="M4" s="133">
        <f t="shared" si="4"/>
        <v>800</v>
      </c>
      <c r="N4" s="125">
        <v>2026</v>
      </c>
    </row>
    <row r="5" s="125" customFormat="1" spans="1:14">
      <c r="A5" s="133" t="s">
        <v>90</v>
      </c>
      <c r="B5" s="134">
        <v>46023</v>
      </c>
      <c r="C5" s="134">
        <f>EDATE(B5,12)</f>
        <v>46388</v>
      </c>
      <c r="D5" s="133" t="s">
        <v>86</v>
      </c>
      <c r="E5" s="133" t="s">
        <v>91</v>
      </c>
      <c r="F5" s="133" t="s">
        <v>74</v>
      </c>
      <c r="G5" s="135">
        <v>1500</v>
      </c>
      <c r="H5" s="136">
        <v>1</v>
      </c>
      <c r="I5" s="133">
        <f t="shared" si="0"/>
        <v>12</v>
      </c>
      <c r="J5" s="135">
        <f t="shared" si="1"/>
        <v>125</v>
      </c>
      <c r="K5" s="135">
        <f t="shared" si="2"/>
        <v>100</v>
      </c>
      <c r="L5" s="133">
        <f t="shared" si="3"/>
        <v>1500</v>
      </c>
      <c r="M5" s="133">
        <f t="shared" si="4"/>
        <v>1200</v>
      </c>
      <c r="N5" s="125">
        <v>2026</v>
      </c>
    </row>
    <row r="6" s="125" customFormat="1" spans="1:14">
      <c r="A6" s="133" t="s">
        <v>92</v>
      </c>
      <c r="B6" s="134">
        <v>46023</v>
      </c>
      <c r="C6" s="134">
        <f>EDATE(B6,12)</f>
        <v>46388</v>
      </c>
      <c r="D6" s="133" t="s">
        <v>86</v>
      </c>
      <c r="E6" s="133" t="s">
        <v>91</v>
      </c>
      <c r="F6" s="133" t="s">
        <v>74</v>
      </c>
      <c r="G6" s="135">
        <f>(35*6.7)+5</f>
        <v>239.5</v>
      </c>
      <c r="H6" s="136">
        <v>5</v>
      </c>
      <c r="I6" s="133">
        <f t="shared" si="0"/>
        <v>12</v>
      </c>
      <c r="J6" s="135">
        <f t="shared" si="1"/>
        <v>99.7916666666667</v>
      </c>
      <c r="K6" s="135">
        <f t="shared" si="2"/>
        <v>79.8333333333333</v>
      </c>
      <c r="L6" s="133">
        <f t="shared" si="3"/>
        <v>1197.5</v>
      </c>
      <c r="M6" s="133">
        <f t="shared" si="4"/>
        <v>958</v>
      </c>
      <c r="N6" s="125">
        <v>2026</v>
      </c>
    </row>
    <row r="7" s="125" customFormat="1" spans="1:14">
      <c r="A7" s="133" t="s">
        <v>93</v>
      </c>
      <c r="B7" s="134">
        <v>46023</v>
      </c>
      <c r="C7" s="134">
        <f>EDATE(B7,12)</f>
        <v>46388</v>
      </c>
      <c r="D7" s="133" t="s">
        <v>86</v>
      </c>
      <c r="E7" s="133" t="s">
        <v>91</v>
      </c>
      <c r="F7" s="133" t="s">
        <v>74</v>
      </c>
      <c r="G7" s="135">
        <v>4000</v>
      </c>
      <c r="H7" s="136">
        <v>1</v>
      </c>
      <c r="I7" s="133">
        <f t="shared" si="0"/>
        <v>12</v>
      </c>
      <c r="J7" s="135">
        <f t="shared" si="1"/>
        <v>333.333333333333</v>
      </c>
      <c r="K7" s="135">
        <f t="shared" si="2"/>
        <v>266.666666666667</v>
      </c>
      <c r="L7" s="133">
        <f t="shared" si="3"/>
        <v>4000</v>
      </c>
      <c r="M7" s="133">
        <f t="shared" si="4"/>
        <v>3200</v>
      </c>
      <c r="N7" s="125">
        <v>2026</v>
      </c>
    </row>
    <row r="8" s="125" customFormat="1" spans="1:14">
      <c r="A8" s="133" t="s">
        <v>94</v>
      </c>
      <c r="B8" s="134">
        <v>46357</v>
      </c>
      <c r="C8" s="134">
        <f>EDATE(B8,1)</f>
        <v>46388</v>
      </c>
      <c r="D8" s="133" t="s">
        <v>86</v>
      </c>
      <c r="E8" s="133" t="s">
        <v>76</v>
      </c>
      <c r="F8" s="133" t="s">
        <v>74</v>
      </c>
      <c r="G8" s="135">
        <v>1500</v>
      </c>
      <c r="H8" s="136">
        <v>1</v>
      </c>
      <c r="I8" s="133">
        <f t="shared" si="0"/>
        <v>1</v>
      </c>
      <c r="J8" s="135">
        <f t="shared" si="1"/>
        <v>1500</v>
      </c>
      <c r="K8" s="135">
        <f t="shared" si="2"/>
        <v>1200</v>
      </c>
      <c r="L8" s="133">
        <f t="shared" si="3"/>
        <v>1500</v>
      </c>
      <c r="M8" s="133">
        <f t="shared" si="4"/>
        <v>1200</v>
      </c>
      <c r="N8" s="125">
        <v>2026</v>
      </c>
    </row>
    <row r="9" s="125" customFormat="1" spans="1:14">
      <c r="A9" s="133" t="s">
        <v>95</v>
      </c>
      <c r="B9" s="134">
        <v>46174</v>
      </c>
      <c r="C9" s="134">
        <f>EDATE(B9,4)</f>
        <v>46296</v>
      </c>
      <c r="D9" s="133" t="s">
        <v>73</v>
      </c>
      <c r="E9" s="133" t="s">
        <v>71</v>
      </c>
      <c r="F9" s="133" t="s">
        <v>96</v>
      </c>
      <c r="G9" s="135">
        <f>53</f>
        <v>53</v>
      </c>
      <c r="H9" s="137">
        <f>'Indtægter (Forecast)'!I2*2</f>
        <v>50</v>
      </c>
      <c r="I9" s="138">
        <f t="shared" si="0"/>
        <v>4</v>
      </c>
      <c r="J9" s="135">
        <f t="shared" si="1"/>
        <v>662.5</v>
      </c>
      <c r="K9" s="135">
        <f>(J9-J9/5)</f>
        <v>530</v>
      </c>
      <c r="L9" s="135">
        <f t="shared" si="3"/>
        <v>2650</v>
      </c>
      <c r="M9" s="135">
        <f t="shared" si="4"/>
        <v>2120</v>
      </c>
      <c r="N9" s="125">
        <v>2026</v>
      </c>
    </row>
    <row r="10" s="125" customFormat="1" spans="1:14">
      <c r="A10" s="133" t="s">
        <v>97</v>
      </c>
      <c r="B10" s="134">
        <f>'Indtægter (Forecast)'!B3</f>
        <v>46327</v>
      </c>
      <c r="C10" s="134">
        <f>EDATE(B10,1)</f>
        <v>46357</v>
      </c>
      <c r="D10" s="133" t="s">
        <v>73</v>
      </c>
      <c r="E10" s="133" t="s">
        <v>75</v>
      </c>
      <c r="F10" s="133" t="s">
        <v>98</v>
      </c>
      <c r="G10" s="135">
        <f>2.4*12</f>
        <v>28.8</v>
      </c>
      <c r="H10" s="137">
        <v>82</v>
      </c>
      <c r="I10" s="138">
        <f t="shared" si="0"/>
        <v>1</v>
      </c>
      <c r="J10" s="135">
        <f t="shared" si="1"/>
        <v>2361.6</v>
      </c>
      <c r="K10" s="135">
        <f>(J10-J10/5)</f>
        <v>1889.28</v>
      </c>
      <c r="L10" s="135">
        <f t="shared" si="3"/>
        <v>2361.6</v>
      </c>
      <c r="M10" s="135">
        <f t="shared" si="4"/>
        <v>1889.28</v>
      </c>
      <c r="N10" s="125">
        <v>2026</v>
      </c>
    </row>
    <row r="11" s="125" customFormat="1" spans="1:14">
      <c r="A11" s="133" t="s">
        <v>99</v>
      </c>
      <c r="B11" s="134">
        <f>B9</f>
        <v>46174</v>
      </c>
      <c r="C11" s="134">
        <f>EDATE(B11,2)</f>
        <v>46235</v>
      </c>
      <c r="D11" s="133" t="s">
        <v>73</v>
      </c>
      <c r="E11" s="133" t="s">
        <v>71</v>
      </c>
      <c r="F11" s="133" t="s">
        <v>96</v>
      </c>
      <c r="G11" s="135">
        <v>2</v>
      </c>
      <c r="H11" s="137">
        <f>H9</f>
        <v>50</v>
      </c>
      <c r="I11" s="138">
        <f t="shared" si="0"/>
        <v>2</v>
      </c>
      <c r="J11" s="135">
        <f t="shared" si="1"/>
        <v>50</v>
      </c>
      <c r="K11" s="135">
        <f>(J11-J11/5)</f>
        <v>40</v>
      </c>
      <c r="L11" s="135">
        <f t="shared" si="3"/>
        <v>100</v>
      </c>
      <c r="M11" s="135">
        <f t="shared" si="4"/>
        <v>80</v>
      </c>
      <c r="N11" s="125">
        <v>2026</v>
      </c>
    </row>
    <row r="12" s="125" customFormat="1" spans="1:14">
      <c r="A12" s="133" t="s">
        <v>100</v>
      </c>
      <c r="B12" s="134">
        <f>B10</f>
        <v>46327</v>
      </c>
      <c r="C12" s="134">
        <f>EDATE(B12,1)</f>
        <v>46357</v>
      </c>
      <c r="D12" s="133" t="s">
        <v>73</v>
      </c>
      <c r="E12" s="133" t="s">
        <v>75</v>
      </c>
      <c r="F12" s="133" t="s">
        <v>98</v>
      </c>
      <c r="G12" s="135">
        <v>16</v>
      </c>
      <c r="H12" s="137">
        <f>H10</f>
        <v>82</v>
      </c>
      <c r="I12" s="138">
        <f t="shared" si="0"/>
        <v>1</v>
      </c>
      <c r="J12" s="135">
        <f t="shared" si="1"/>
        <v>1312</v>
      </c>
      <c r="K12" s="135">
        <f t="shared" ref="K12:K25" si="5">(J12-J12/5)</f>
        <v>1049.6</v>
      </c>
      <c r="L12" s="135">
        <f t="shared" ref="L12:L60" si="6">J12*I12</f>
        <v>1312</v>
      </c>
      <c r="M12" s="135">
        <f t="shared" ref="M12:M60" si="7">K12*I12</f>
        <v>1049.6</v>
      </c>
      <c r="N12" s="125">
        <v>2026</v>
      </c>
    </row>
    <row r="13" s="125" customFormat="1" spans="1:14">
      <c r="A13" s="133" t="s">
        <v>101</v>
      </c>
      <c r="B13" s="134">
        <f>'Indtægter (Forecast)'!B4</f>
        <v>46143</v>
      </c>
      <c r="C13" s="134">
        <f>EDATE(B13,1)</f>
        <v>46174</v>
      </c>
      <c r="D13" s="133" t="s">
        <v>73</v>
      </c>
      <c r="E13" s="133" t="s">
        <v>76</v>
      </c>
      <c r="F13" s="133" t="s">
        <v>74</v>
      </c>
      <c r="G13" s="133">
        <v>5500</v>
      </c>
      <c r="H13" s="136">
        <v>2</v>
      </c>
      <c r="I13" s="138">
        <f t="shared" si="0"/>
        <v>1</v>
      </c>
      <c r="J13" s="135">
        <f t="shared" si="1"/>
        <v>11000</v>
      </c>
      <c r="K13" s="135">
        <f t="shared" si="5"/>
        <v>8800</v>
      </c>
      <c r="L13" s="135">
        <f t="shared" si="6"/>
        <v>11000</v>
      </c>
      <c r="M13" s="135">
        <f t="shared" si="7"/>
        <v>8800</v>
      </c>
      <c r="N13" s="125">
        <v>2026</v>
      </c>
    </row>
    <row r="14" s="125" customFormat="1" spans="1:14">
      <c r="A14" s="133" t="s">
        <v>102</v>
      </c>
      <c r="B14" s="134">
        <v>46023</v>
      </c>
      <c r="C14" s="134">
        <f>EDATE(B14,4)</f>
        <v>46143</v>
      </c>
      <c r="D14" s="133" t="s">
        <v>73</v>
      </c>
      <c r="E14" s="133" t="s">
        <v>76</v>
      </c>
      <c r="F14" s="133" t="s">
        <v>74</v>
      </c>
      <c r="G14" s="133">
        <v>400</v>
      </c>
      <c r="H14" s="136">
        <v>2</v>
      </c>
      <c r="I14" s="138">
        <f t="shared" si="0"/>
        <v>4</v>
      </c>
      <c r="J14" s="135">
        <f t="shared" si="1"/>
        <v>200</v>
      </c>
      <c r="K14" s="135">
        <f t="shared" si="5"/>
        <v>160</v>
      </c>
      <c r="L14" s="135">
        <f t="shared" si="6"/>
        <v>800</v>
      </c>
      <c r="M14" s="135">
        <f t="shared" si="7"/>
        <v>640</v>
      </c>
      <c r="N14" s="125">
        <v>2026</v>
      </c>
    </row>
    <row r="15" s="125" customFormat="1" spans="1:14">
      <c r="A15" s="133" t="s">
        <v>103</v>
      </c>
      <c r="B15" s="134">
        <v>46296</v>
      </c>
      <c r="C15" s="134">
        <f>EDATE(B15,3)</f>
        <v>46388</v>
      </c>
      <c r="D15" s="133" t="s">
        <v>73</v>
      </c>
      <c r="E15" s="133" t="s">
        <v>76</v>
      </c>
      <c r="F15" s="133" t="s">
        <v>74</v>
      </c>
      <c r="G15" s="133">
        <v>400</v>
      </c>
      <c r="H15" s="133">
        <v>3</v>
      </c>
      <c r="I15" s="138">
        <f t="shared" si="0"/>
        <v>3</v>
      </c>
      <c r="J15" s="135">
        <f t="shared" si="1"/>
        <v>400</v>
      </c>
      <c r="K15" s="135">
        <f t="shared" si="5"/>
        <v>320</v>
      </c>
      <c r="L15" s="135">
        <f t="shared" si="6"/>
        <v>1200</v>
      </c>
      <c r="M15" s="135">
        <f t="shared" si="7"/>
        <v>960</v>
      </c>
      <c r="N15" s="125">
        <v>2026</v>
      </c>
    </row>
    <row r="16" s="125" customFormat="1" spans="1:14">
      <c r="A16" s="133" t="s">
        <v>104</v>
      </c>
      <c r="B16" s="134">
        <f>'Indtægter (Forecast)'!B5</f>
        <v>46174</v>
      </c>
      <c r="C16" s="134">
        <f>EDATE(B16,3)</f>
        <v>46266</v>
      </c>
      <c r="D16" s="133" t="s">
        <v>73</v>
      </c>
      <c r="E16" s="133" t="s">
        <v>77</v>
      </c>
      <c r="F16" s="133" t="s">
        <v>74</v>
      </c>
      <c r="G16" s="139">
        <v>0.12</v>
      </c>
      <c r="H16" s="137">
        <f>'Indtægter (Forecast)'!I5</f>
        <v>0</v>
      </c>
      <c r="I16" s="138">
        <f t="shared" si="0"/>
        <v>3</v>
      </c>
      <c r="J16" s="135">
        <f t="shared" si="1"/>
        <v>0</v>
      </c>
      <c r="K16" s="135">
        <f t="shared" si="5"/>
        <v>0</v>
      </c>
      <c r="L16" s="135">
        <f t="shared" si="6"/>
        <v>0</v>
      </c>
      <c r="M16" s="135">
        <f t="shared" si="7"/>
        <v>0</v>
      </c>
      <c r="N16" s="125">
        <v>2026</v>
      </c>
    </row>
    <row r="17" s="125" customFormat="1" spans="1:14">
      <c r="A17" s="133" t="s">
        <v>105</v>
      </c>
      <c r="B17" s="134">
        <v>46357</v>
      </c>
      <c r="C17" s="134">
        <f t="shared" ref="C17:C22" si="8">EDATE(B17,1)</f>
        <v>46388</v>
      </c>
      <c r="D17" s="133" t="s">
        <v>73</v>
      </c>
      <c r="E17" s="133" t="s">
        <v>77</v>
      </c>
      <c r="F17" s="133" t="s">
        <v>74</v>
      </c>
      <c r="G17" s="133">
        <v>0.7</v>
      </c>
      <c r="H17" s="137">
        <f>2*'Indtægter (Forecast)'!I5</f>
        <v>0</v>
      </c>
      <c r="I17" s="138">
        <f t="shared" si="0"/>
        <v>1</v>
      </c>
      <c r="J17" s="135">
        <f t="shared" si="1"/>
        <v>0</v>
      </c>
      <c r="K17" s="135">
        <f t="shared" si="5"/>
        <v>0</v>
      </c>
      <c r="L17" s="135">
        <f t="shared" si="6"/>
        <v>0</v>
      </c>
      <c r="M17" s="135">
        <f t="shared" si="7"/>
        <v>0</v>
      </c>
      <c r="N17" s="125">
        <v>2026</v>
      </c>
    </row>
    <row r="18" s="125" customFormat="1" spans="1:14">
      <c r="A18" s="133" t="s">
        <v>106</v>
      </c>
      <c r="B18" s="134">
        <f>B17</f>
        <v>46357</v>
      </c>
      <c r="C18" s="134">
        <f t="shared" si="8"/>
        <v>46388</v>
      </c>
      <c r="D18" s="133" t="s">
        <v>73</v>
      </c>
      <c r="E18" s="133" t="s">
        <v>79</v>
      </c>
      <c r="F18" s="133" t="s">
        <v>74</v>
      </c>
      <c r="G18" s="133">
        <v>0.7</v>
      </c>
      <c r="H18" s="137">
        <f>'Indtægter (Forecast)'!I6/2</f>
        <v>0</v>
      </c>
      <c r="I18" s="138">
        <f t="shared" si="0"/>
        <v>1</v>
      </c>
      <c r="J18" s="135">
        <f t="shared" si="1"/>
        <v>0</v>
      </c>
      <c r="K18" s="135">
        <f t="shared" si="5"/>
        <v>0</v>
      </c>
      <c r="L18" s="135">
        <f t="shared" si="6"/>
        <v>0</v>
      </c>
      <c r="M18" s="135">
        <f t="shared" si="7"/>
        <v>0</v>
      </c>
      <c r="N18" s="125">
        <v>2026</v>
      </c>
    </row>
    <row r="19" s="125" customFormat="1" spans="1:14">
      <c r="A19" s="133" t="s">
        <v>107</v>
      </c>
      <c r="B19" s="134">
        <f>B18</f>
        <v>46357</v>
      </c>
      <c r="C19" s="134">
        <f t="shared" si="8"/>
        <v>46388</v>
      </c>
      <c r="D19" s="133" t="s">
        <v>73</v>
      </c>
      <c r="E19" s="133" t="s">
        <v>75</v>
      </c>
      <c r="F19" s="133" t="s">
        <v>74</v>
      </c>
      <c r="G19" s="133">
        <v>1.8</v>
      </c>
      <c r="H19" s="137">
        <v>0</v>
      </c>
      <c r="I19" s="138">
        <f t="shared" ref="I19:I60" si="9">DATEDIF(B19,C19,"m")</f>
        <v>1</v>
      </c>
      <c r="J19" s="135">
        <f t="shared" ref="J19:J60" si="10">H19*G19/I19</f>
        <v>0</v>
      </c>
      <c r="K19" s="135">
        <f t="shared" si="5"/>
        <v>0</v>
      </c>
      <c r="L19" s="135">
        <f t="shared" si="6"/>
        <v>0</v>
      </c>
      <c r="M19" s="135">
        <f t="shared" si="7"/>
        <v>0</v>
      </c>
      <c r="N19" s="125">
        <v>2026</v>
      </c>
    </row>
    <row r="20" s="125" customFormat="1" spans="1:14">
      <c r="A20" s="133" t="s">
        <v>108</v>
      </c>
      <c r="B20" s="134">
        <v>46054</v>
      </c>
      <c r="C20" s="134">
        <f t="shared" si="8"/>
        <v>46082</v>
      </c>
      <c r="D20" s="133" t="s">
        <v>73</v>
      </c>
      <c r="E20" s="133" t="s">
        <v>79</v>
      </c>
      <c r="F20" s="133" t="s">
        <v>74</v>
      </c>
      <c r="G20" s="133">
        <v>0.2</v>
      </c>
      <c r="H20" s="136">
        <v>0</v>
      </c>
      <c r="I20" s="138">
        <f t="shared" si="9"/>
        <v>1</v>
      </c>
      <c r="J20" s="135">
        <f t="shared" si="10"/>
        <v>0</v>
      </c>
      <c r="K20" s="135">
        <f t="shared" si="5"/>
        <v>0</v>
      </c>
      <c r="L20" s="135">
        <f t="shared" si="6"/>
        <v>0</v>
      </c>
      <c r="M20" s="135">
        <f t="shared" si="7"/>
        <v>0</v>
      </c>
      <c r="N20" s="125">
        <v>2026</v>
      </c>
    </row>
    <row r="21" s="125" customFormat="1" spans="1:14">
      <c r="A21" s="133" t="s">
        <v>109</v>
      </c>
      <c r="B21" s="134">
        <v>46054</v>
      </c>
      <c r="C21" s="134">
        <f t="shared" si="8"/>
        <v>46082</v>
      </c>
      <c r="D21" s="133" t="s">
        <v>73</v>
      </c>
      <c r="E21" s="133" t="s">
        <v>75</v>
      </c>
      <c r="F21" s="133" t="s">
        <v>110</v>
      </c>
      <c r="G21" s="135">
        <v>1600</v>
      </c>
      <c r="H21" s="136">
        <v>0</v>
      </c>
      <c r="I21" s="138">
        <f t="shared" si="9"/>
        <v>1</v>
      </c>
      <c r="J21" s="135">
        <f t="shared" si="10"/>
        <v>0</v>
      </c>
      <c r="K21" s="135">
        <f t="shared" si="5"/>
        <v>0</v>
      </c>
      <c r="L21" s="135">
        <f t="shared" si="6"/>
        <v>0</v>
      </c>
      <c r="M21" s="135">
        <f t="shared" si="7"/>
        <v>0</v>
      </c>
      <c r="N21" s="125">
        <v>2026</v>
      </c>
    </row>
    <row r="22" s="125" customFormat="1" spans="1:14">
      <c r="A22" s="133" t="s">
        <v>111</v>
      </c>
      <c r="B22" s="134">
        <v>46054</v>
      </c>
      <c r="C22" s="134">
        <f t="shared" si="8"/>
        <v>46082</v>
      </c>
      <c r="D22" s="133" t="s">
        <v>73</v>
      </c>
      <c r="E22" s="133" t="s">
        <v>75</v>
      </c>
      <c r="F22" s="133" t="s">
        <v>110</v>
      </c>
      <c r="G22" s="135">
        <v>1900</v>
      </c>
      <c r="H22" s="136">
        <v>0</v>
      </c>
      <c r="I22" s="138">
        <f t="shared" si="9"/>
        <v>1</v>
      </c>
      <c r="J22" s="135">
        <f t="shared" si="10"/>
        <v>0</v>
      </c>
      <c r="K22" s="135">
        <f t="shared" si="5"/>
        <v>0</v>
      </c>
      <c r="L22" s="135">
        <f t="shared" si="6"/>
        <v>0</v>
      </c>
      <c r="M22" s="135">
        <f t="shared" si="7"/>
        <v>0</v>
      </c>
      <c r="N22" s="125">
        <v>2026</v>
      </c>
    </row>
    <row r="23" s="126" customFormat="1" spans="1:14">
      <c r="A23" s="140" t="s">
        <v>85</v>
      </c>
      <c r="B23" s="141">
        <v>46388</v>
      </c>
      <c r="C23" s="141">
        <f>EDATE(B23,12)</f>
        <v>46753</v>
      </c>
      <c r="D23" s="140" t="s">
        <v>86</v>
      </c>
      <c r="E23" s="140" t="s">
        <v>75</v>
      </c>
      <c r="F23" s="140" t="s">
        <v>87</v>
      </c>
      <c r="G23" s="142">
        <v>2.5</v>
      </c>
      <c r="H23" s="143">
        <f>4*12</f>
        <v>48</v>
      </c>
      <c r="I23" s="140">
        <f t="shared" si="9"/>
        <v>12</v>
      </c>
      <c r="J23" s="142">
        <f t="shared" si="10"/>
        <v>10</v>
      </c>
      <c r="K23" s="142">
        <f t="shared" ref="K23:K29" si="11">J23-(J23/5)</f>
        <v>8</v>
      </c>
      <c r="L23" s="140">
        <f t="shared" si="6"/>
        <v>120</v>
      </c>
      <c r="M23" s="140">
        <f t="shared" si="7"/>
        <v>96</v>
      </c>
      <c r="N23" s="126">
        <v>2027</v>
      </c>
    </row>
    <row r="24" s="126" customFormat="1" spans="1:14">
      <c r="A24" s="140" t="s">
        <v>88</v>
      </c>
      <c r="B24" s="141">
        <v>46388</v>
      </c>
      <c r="C24" s="141">
        <f>EDATE(B24,12)</f>
        <v>46753</v>
      </c>
      <c r="D24" s="140" t="s">
        <v>86</v>
      </c>
      <c r="E24" s="140" t="s">
        <v>76</v>
      </c>
      <c r="F24" s="140" t="s">
        <v>87</v>
      </c>
      <c r="G24" s="142">
        <v>2.5</v>
      </c>
      <c r="H24" s="143">
        <f>8*12</f>
        <v>96</v>
      </c>
      <c r="I24" s="140">
        <f t="shared" si="9"/>
        <v>12</v>
      </c>
      <c r="J24" s="142">
        <f t="shared" si="10"/>
        <v>20</v>
      </c>
      <c r="K24" s="142">
        <f t="shared" si="11"/>
        <v>16</v>
      </c>
      <c r="L24" s="140">
        <f t="shared" si="6"/>
        <v>240</v>
      </c>
      <c r="M24" s="140">
        <f t="shared" si="7"/>
        <v>192</v>
      </c>
      <c r="N24" s="126">
        <v>2027</v>
      </c>
    </row>
    <row r="25" s="126" customFormat="1" spans="1:14">
      <c r="A25" s="140" t="s">
        <v>89</v>
      </c>
      <c r="B25" s="141">
        <v>46539</v>
      </c>
      <c r="C25" s="141">
        <f>EDATE(B25,2)</f>
        <v>46600</v>
      </c>
      <c r="D25" s="140" t="s">
        <v>86</v>
      </c>
      <c r="E25" s="140" t="s">
        <v>71</v>
      </c>
      <c r="F25" s="140" t="s">
        <v>87</v>
      </c>
      <c r="G25" s="142">
        <v>2.5</v>
      </c>
      <c r="H25" s="143">
        <v>400</v>
      </c>
      <c r="I25" s="140">
        <f t="shared" si="9"/>
        <v>2</v>
      </c>
      <c r="J25" s="142">
        <f t="shared" si="10"/>
        <v>500</v>
      </c>
      <c r="K25" s="142">
        <f t="shared" si="11"/>
        <v>400</v>
      </c>
      <c r="L25" s="140">
        <f t="shared" si="6"/>
        <v>1000</v>
      </c>
      <c r="M25" s="140">
        <f t="shared" si="7"/>
        <v>800</v>
      </c>
      <c r="N25" s="126">
        <v>2027</v>
      </c>
    </row>
    <row r="26" s="126" customFormat="1" spans="1:14">
      <c r="A26" s="140" t="s">
        <v>90</v>
      </c>
      <c r="B26" s="141">
        <v>46388</v>
      </c>
      <c r="C26" s="141">
        <f t="shared" ref="C26:C28" si="12">EDATE(B26,12)</f>
        <v>46753</v>
      </c>
      <c r="D26" s="140" t="s">
        <v>86</v>
      </c>
      <c r="E26" s="140" t="s">
        <v>91</v>
      </c>
      <c r="F26" s="140" t="s">
        <v>74</v>
      </c>
      <c r="G26" s="142">
        <v>1500</v>
      </c>
      <c r="H26" s="143">
        <v>1</v>
      </c>
      <c r="I26" s="140">
        <f t="shared" si="9"/>
        <v>12</v>
      </c>
      <c r="J26" s="142">
        <f t="shared" si="10"/>
        <v>125</v>
      </c>
      <c r="K26" s="142">
        <f t="shared" si="11"/>
        <v>100</v>
      </c>
      <c r="L26" s="140">
        <f t="shared" si="6"/>
        <v>1500</v>
      </c>
      <c r="M26" s="140">
        <f t="shared" si="7"/>
        <v>1200</v>
      </c>
      <c r="N26" s="126">
        <v>2027</v>
      </c>
    </row>
    <row r="27" s="126" customFormat="1" spans="1:14">
      <c r="A27" s="140" t="s">
        <v>92</v>
      </c>
      <c r="B27" s="141">
        <v>46388</v>
      </c>
      <c r="C27" s="141">
        <f t="shared" si="12"/>
        <v>46753</v>
      </c>
      <c r="D27" s="140" t="s">
        <v>86</v>
      </c>
      <c r="E27" s="140" t="s">
        <v>91</v>
      </c>
      <c r="F27" s="140" t="s">
        <v>74</v>
      </c>
      <c r="G27" s="142">
        <f>(35*6.7)+60</f>
        <v>294.5</v>
      </c>
      <c r="H27" s="143">
        <v>12</v>
      </c>
      <c r="I27" s="140">
        <f t="shared" si="9"/>
        <v>12</v>
      </c>
      <c r="J27" s="142">
        <f t="shared" si="10"/>
        <v>294.5</v>
      </c>
      <c r="K27" s="142">
        <f t="shared" si="11"/>
        <v>235.6</v>
      </c>
      <c r="L27" s="140">
        <f t="shared" si="6"/>
        <v>3534</v>
      </c>
      <c r="M27" s="140">
        <f t="shared" si="7"/>
        <v>2827.2</v>
      </c>
      <c r="N27" s="126">
        <v>2027</v>
      </c>
    </row>
    <row r="28" s="126" customFormat="1" spans="1:14">
      <c r="A28" s="140" t="s">
        <v>93</v>
      </c>
      <c r="B28" s="141">
        <v>46388</v>
      </c>
      <c r="C28" s="141">
        <f t="shared" si="12"/>
        <v>46753</v>
      </c>
      <c r="D28" s="140" t="s">
        <v>86</v>
      </c>
      <c r="E28" s="140" t="s">
        <v>91</v>
      </c>
      <c r="F28" s="140" t="s">
        <v>74</v>
      </c>
      <c r="G28" s="142">
        <v>4000</v>
      </c>
      <c r="H28" s="143">
        <v>1</v>
      </c>
      <c r="I28" s="140">
        <f t="shared" si="9"/>
        <v>12</v>
      </c>
      <c r="J28" s="142">
        <f t="shared" si="10"/>
        <v>333.333333333333</v>
      </c>
      <c r="K28" s="142">
        <f t="shared" si="11"/>
        <v>266.666666666667</v>
      </c>
      <c r="L28" s="140">
        <f t="shared" si="6"/>
        <v>4000</v>
      </c>
      <c r="M28" s="140">
        <f t="shared" si="7"/>
        <v>3200</v>
      </c>
      <c r="N28" s="126">
        <v>2027</v>
      </c>
    </row>
    <row r="29" s="126" customFormat="1" spans="1:14">
      <c r="A29" s="140" t="s">
        <v>94</v>
      </c>
      <c r="B29" s="141">
        <v>46722</v>
      </c>
      <c r="C29" s="141">
        <f>EDATE(B29,1)</f>
        <v>46753</v>
      </c>
      <c r="D29" s="140" t="s">
        <v>86</v>
      </c>
      <c r="E29" s="140" t="s">
        <v>76</v>
      </c>
      <c r="F29" s="140" t="s">
        <v>74</v>
      </c>
      <c r="G29" s="142">
        <v>1500</v>
      </c>
      <c r="H29" s="143">
        <v>1</v>
      </c>
      <c r="I29" s="140">
        <f t="shared" si="9"/>
        <v>1</v>
      </c>
      <c r="J29" s="142">
        <f t="shared" si="10"/>
        <v>1500</v>
      </c>
      <c r="K29" s="142">
        <f t="shared" si="11"/>
        <v>1200</v>
      </c>
      <c r="L29" s="140">
        <f t="shared" si="6"/>
        <v>1500</v>
      </c>
      <c r="M29" s="140">
        <f t="shared" si="7"/>
        <v>1200</v>
      </c>
      <c r="N29" s="126">
        <v>2027</v>
      </c>
    </row>
    <row r="30" s="126" customFormat="1" spans="1:14">
      <c r="A30" s="140" t="s">
        <v>95</v>
      </c>
      <c r="B30" s="141">
        <v>46539</v>
      </c>
      <c r="C30" s="141">
        <f>EDATE(B30,4)</f>
        <v>46661</v>
      </c>
      <c r="D30" s="140" t="s">
        <v>73</v>
      </c>
      <c r="E30" s="140" t="s">
        <v>71</v>
      </c>
      <c r="F30" s="140" t="s">
        <v>96</v>
      </c>
      <c r="G30" s="142">
        <f>53</f>
        <v>53</v>
      </c>
      <c r="H30" s="144">
        <v>200</v>
      </c>
      <c r="I30" s="145">
        <f t="shared" si="9"/>
        <v>4</v>
      </c>
      <c r="J30" s="142">
        <f t="shared" si="10"/>
        <v>2650</v>
      </c>
      <c r="K30" s="142">
        <f>(J30-J30/5)</f>
        <v>2120</v>
      </c>
      <c r="L30" s="142">
        <f t="shared" si="6"/>
        <v>10600</v>
      </c>
      <c r="M30" s="142">
        <f t="shared" si="7"/>
        <v>8480</v>
      </c>
      <c r="N30" s="126">
        <v>2027</v>
      </c>
    </row>
    <row r="31" s="126" customFormat="1" spans="1:14">
      <c r="A31" s="140" t="s">
        <v>97</v>
      </c>
      <c r="B31" s="141">
        <v>46388</v>
      </c>
      <c r="C31" s="141">
        <f>EDATE(B31,12)</f>
        <v>46753</v>
      </c>
      <c r="D31" s="140" t="s">
        <v>73</v>
      </c>
      <c r="E31" s="140" t="s">
        <v>75</v>
      </c>
      <c r="F31" s="140" t="s">
        <v>98</v>
      </c>
      <c r="G31" s="142">
        <f>2.4*12</f>
        <v>28.8</v>
      </c>
      <c r="H31" s="144">
        <v>82</v>
      </c>
      <c r="I31" s="145">
        <f t="shared" si="9"/>
        <v>12</v>
      </c>
      <c r="J31" s="142">
        <f t="shared" si="10"/>
        <v>196.8</v>
      </c>
      <c r="K31" s="142">
        <f>(J31-J31/5)</f>
        <v>157.44</v>
      </c>
      <c r="L31" s="142">
        <f t="shared" si="6"/>
        <v>2361.6</v>
      </c>
      <c r="M31" s="142">
        <f t="shared" si="7"/>
        <v>1889.28</v>
      </c>
      <c r="N31" s="126">
        <v>2027</v>
      </c>
    </row>
    <row r="32" s="126" customFormat="1" spans="1:14">
      <c r="A32" s="140" t="s">
        <v>99</v>
      </c>
      <c r="B32" s="141">
        <f>B30</f>
        <v>46539</v>
      </c>
      <c r="C32" s="141">
        <f>EDATE(B32,2)</f>
        <v>46600</v>
      </c>
      <c r="D32" s="140" t="s">
        <v>73</v>
      </c>
      <c r="E32" s="140" t="s">
        <v>71</v>
      </c>
      <c r="F32" s="140" t="s">
        <v>96</v>
      </c>
      <c r="G32" s="142">
        <v>2</v>
      </c>
      <c r="H32" s="146">
        <f>H30</f>
        <v>200</v>
      </c>
      <c r="I32" s="145">
        <f t="shared" si="9"/>
        <v>2</v>
      </c>
      <c r="J32" s="142">
        <f t="shared" si="10"/>
        <v>200</v>
      </c>
      <c r="K32" s="142">
        <f>(J32-J32/5)</f>
        <v>160</v>
      </c>
      <c r="L32" s="142">
        <f t="shared" si="6"/>
        <v>400</v>
      </c>
      <c r="M32" s="142">
        <f t="shared" si="7"/>
        <v>320</v>
      </c>
      <c r="N32" s="126">
        <v>2027</v>
      </c>
    </row>
    <row r="33" s="126" customFormat="1" spans="1:14">
      <c r="A33" s="140" t="s">
        <v>100</v>
      </c>
      <c r="B33" s="141">
        <v>46388</v>
      </c>
      <c r="C33" s="141">
        <f>EDATE(B33,12)</f>
        <v>46753</v>
      </c>
      <c r="D33" s="140" t="s">
        <v>73</v>
      </c>
      <c r="E33" s="140" t="s">
        <v>75</v>
      </c>
      <c r="F33" s="140" t="s">
        <v>98</v>
      </c>
      <c r="G33" s="142">
        <v>16</v>
      </c>
      <c r="H33" s="146">
        <f>H31</f>
        <v>82</v>
      </c>
      <c r="I33" s="145">
        <f t="shared" si="9"/>
        <v>12</v>
      </c>
      <c r="J33" s="142">
        <f t="shared" si="10"/>
        <v>109.333333333333</v>
      </c>
      <c r="K33" s="142">
        <f t="shared" ref="K33:K46" si="13">(J33-J33/5)</f>
        <v>87.4666666666667</v>
      </c>
      <c r="L33" s="142">
        <f t="shared" si="6"/>
        <v>1312</v>
      </c>
      <c r="M33" s="142">
        <f t="shared" si="7"/>
        <v>1049.6</v>
      </c>
      <c r="N33" s="126">
        <v>2027</v>
      </c>
    </row>
    <row r="34" s="126" customFormat="1" spans="1:14">
      <c r="A34" s="140" t="s">
        <v>101</v>
      </c>
      <c r="B34" s="124">
        <v>46722</v>
      </c>
      <c r="C34" s="141">
        <f>EDATE(B34,1)</f>
        <v>46753</v>
      </c>
      <c r="D34" s="140" t="s">
        <v>73</v>
      </c>
      <c r="E34" s="140" t="s">
        <v>76</v>
      </c>
      <c r="F34" s="140" t="s">
        <v>74</v>
      </c>
      <c r="G34" s="140">
        <v>5500</v>
      </c>
      <c r="H34" s="147">
        <v>1</v>
      </c>
      <c r="I34" s="145">
        <f t="shared" si="9"/>
        <v>1</v>
      </c>
      <c r="J34" s="142">
        <f t="shared" si="10"/>
        <v>5500</v>
      </c>
      <c r="K34" s="142">
        <f t="shared" si="13"/>
        <v>4400</v>
      </c>
      <c r="L34" s="142">
        <f t="shared" si="6"/>
        <v>5500</v>
      </c>
      <c r="M34" s="142">
        <f t="shared" si="7"/>
        <v>4400</v>
      </c>
      <c r="N34" s="126">
        <v>2027</v>
      </c>
    </row>
    <row r="35" s="126" customFormat="1" spans="1:14">
      <c r="A35" s="140" t="s">
        <v>102</v>
      </c>
      <c r="B35" s="141">
        <v>46388</v>
      </c>
      <c r="C35" s="141">
        <f>EDATE(B35,4)</f>
        <v>46508</v>
      </c>
      <c r="D35" s="140" t="s">
        <v>73</v>
      </c>
      <c r="E35" s="140" t="s">
        <v>76</v>
      </c>
      <c r="F35" s="140" t="s">
        <v>74</v>
      </c>
      <c r="G35" s="140">
        <v>400</v>
      </c>
      <c r="H35" s="147">
        <v>5</v>
      </c>
      <c r="I35" s="145">
        <f t="shared" si="9"/>
        <v>4</v>
      </c>
      <c r="J35" s="142">
        <f t="shared" si="10"/>
        <v>500</v>
      </c>
      <c r="K35" s="142">
        <f t="shared" si="13"/>
        <v>400</v>
      </c>
      <c r="L35" s="142">
        <f t="shared" si="6"/>
        <v>2000</v>
      </c>
      <c r="M35" s="142">
        <f t="shared" si="7"/>
        <v>1600</v>
      </c>
      <c r="N35" s="126">
        <v>2027</v>
      </c>
    </row>
    <row r="36" s="126" customFormat="1" spans="1:14">
      <c r="A36" s="140" t="s">
        <v>103</v>
      </c>
      <c r="B36" s="141">
        <v>46661</v>
      </c>
      <c r="C36" s="141">
        <f>EDATE(B36,3)</f>
        <v>46753</v>
      </c>
      <c r="D36" s="140" t="s">
        <v>73</v>
      </c>
      <c r="E36" s="140" t="s">
        <v>76</v>
      </c>
      <c r="F36" s="140" t="s">
        <v>74</v>
      </c>
      <c r="G36" s="140">
        <v>400</v>
      </c>
      <c r="H36" s="145">
        <f>H35-H34</f>
        <v>4</v>
      </c>
      <c r="I36" s="145">
        <f t="shared" si="9"/>
        <v>3</v>
      </c>
      <c r="J36" s="142">
        <f t="shared" si="10"/>
        <v>533.333333333333</v>
      </c>
      <c r="K36" s="142">
        <f t="shared" si="13"/>
        <v>426.666666666667</v>
      </c>
      <c r="L36" s="142">
        <f t="shared" si="6"/>
        <v>1600</v>
      </c>
      <c r="M36" s="142">
        <f t="shared" si="7"/>
        <v>1280</v>
      </c>
      <c r="N36" s="126">
        <v>2027</v>
      </c>
    </row>
    <row r="37" s="126" customFormat="1" spans="1:14">
      <c r="A37" s="140" t="s">
        <v>104</v>
      </c>
      <c r="B37" s="141">
        <v>46508</v>
      </c>
      <c r="C37" s="141">
        <f>EDATE(B37,3)</f>
        <v>46600</v>
      </c>
      <c r="D37" s="140" t="s">
        <v>73</v>
      </c>
      <c r="E37" s="140" t="s">
        <v>77</v>
      </c>
      <c r="F37" s="140" t="s">
        <v>74</v>
      </c>
      <c r="G37" s="148">
        <v>0.12</v>
      </c>
      <c r="H37" s="144">
        <v>4000</v>
      </c>
      <c r="I37" s="145">
        <f t="shared" si="9"/>
        <v>3</v>
      </c>
      <c r="J37" s="142">
        <f t="shared" si="10"/>
        <v>160</v>
      </c>
      <c r="K37" s="142">
        <f t="shared" si="13"/>
        <v>128</v>
      </c>
      <c r="L37" s="142">
        <f t="shared" si="6"/>
        <v>480</v>
      </c>
      <c r="M37" s="142">
        <f t="shared" si="7"/>
        <v>384</v>
      </c>
      <c r="N37" s="126">
        <v>2027</v>
      </c>
    </row>
    <row r="38" s="126" customFormat="1" spans="1:14">
      <c r="A38" s="140" t="s">
        <v>105</v>
      </c>
      <c r="B38" s="124">
        <v>46722</v>
      </c>
      <c r="C38" s="141">
        <f t="shared" ref="C38:C43" si="14">EDATE(B38,1)</f>
        <v>46753</v>
      </c>
      <c r="D38" s="140" t="s">
        <v>73</v>
      </c>
      <c r="E38" s="140" t="s">
        <v>77</v>
      </c>
      <c r="F38" s="140" t="s">
        <v>74</v>
      </c>
      <c r="G38" s="140">
        <v>0.7</v>
      </c>
      <c r="H38" s="146">
        <f>0.6*H37*2</f>
        <v>4800</v>
      </c>
      <c r="I38" s="145">
        <f t="shared" si="9"/>
        <v>1</v>
      </c>
      <c r="J38" s="142">
        <f t="shared" si="10"/>
        <v>3360</v>
      </c>
      <c r="K38" s="142">
        <f t="shared" si="13"/>
        <v>2688</v>
      </c>
      <c r="L38" s="142">
        <f t="shared" si="6"/>
        <v>3360</v>
      </c>
      <c r="M38" s="142">
        <f t="shared" si="7"/>
        <v>2688</v>
      </c>
      <c r="N38" s="126">
        <v>2027</v>
      </c>
    </row>
    <row r="39" s="126" customFormat="1" ht="17" customHeight="1" spans="1:14">
      <c r="A39" s="140" t="s">
        <v>106</v>
      </c>
      <c r="B39" s="141">
        <f>B38</f>
        <v>46722</v>
      </c>
      <c r="C39" s="141">
        <f t="shared" si="14"/>
        <v>46753</v>
      </c>
      <c r="D39" s="140" t="s">
        <v>73</v>
      </c>
      <c r="E39" s="140" t="s">
        <v>79</v>
      </c>
      <c r="F39" s="140" t="s">
        <v>74</v>
      </c>
      <c r="G39" s="140">
        <v>0.7</v>
      </c>
      <c r="H39" s="146">
        <f>H41</f>
        <v>2500</v>
      </c>
      <c r="I39" s="145">
        <f t="shared" si="9"/>
        <v>1</v>
      </c>
      <c r="J39" s="142">
        <f t="shared" si="10"/>
        <v>1750</v>
      </c>
      <c r="K39" s="142">
        <f t="shared" si="13"/>
        <v>1400</v>
      </c>
      <c r="L39" s="142">
        <f t="shared" si="6"/>
        <v>1750</v>
      </c>
      <c r="M39" s="142">
        <f t="shared" si="7"/>
        <v>1400</v>
      </c>
      <c r="N39" s="126">
        <v>2027</v>
      </c>
    </row>
    <row r="40" s="126" customFormat="1" spans="1:14">
      <c r="A40" s="140" t="s">
        <v>107</v>
      </c>
      <c r="B40" s="141">
        <f>B39</f>
        <v>46722</v>
      </c>
      <c r="C40" s="141">
        <f t="shared" si="14"/>
        <v>46753</v>
      </c>
      <c r="D40" s="140" t="s">
        <v>73</v>
      </c>
      <c r="E40" s="140" t="s">
        <v>75</v>
      </c>
      <c r="F40" s="140" t="s">
        <v>74</v>
      </c>
      <c r="G40" s="140">
        <v>1.8</v>
      </c>
      <c r="H40" s="146">
        <f>H31*(250/300)*365/12</f>
        <v>2078.47222222222</v>
      </c>
      <c r="I40" s="145">
        <f t="shared" si="9"/>
        <v>1</v>
      </c>
      <c r="J40" s="142">
        <f t="shared" si="10"/>
        <v>3741.25</v>
      </c>
      <c r="K40" s="142">
        <f t="shared" si="13"/>
        <v>2993</v>
      </c>
      <c r="L40" s="142">
        <f t="shared" si="6"/>
        <v>3741.25</v>
      </c>
      <c r="M40" s="142">
        <f t="shared" si="7"/>
        <v>2993</v>
      </c>
      <c r="N40" s="126">
        <v>2027</v>
      </c>
    </row>
    <row r="41" s="126" customFormat="1" spans="1:14">
      <c r="A41" s="140" t="s">
        <v>108</v>
      </c>
      <c r="B41" s="141">
        <v>46419</v>
      </c>
      <c r="C41" s="141">
        <f t="shared" si="14"/>
        <v>46447</v>
      </c>
      <c r="D41" s="140" t="s">
        <v>73</v>
      </c>
      <c r="E41" s="140" t="s">
        <v>79</v>
      </c>
      <c r="F41" s="140" t="s">
        <v>74</v>
      </c>
      <c r="G41" s="140">
        <v>0.2</v>
      </c>
      <c r="H41" s="147">
        <v>2500</v>
      </c>
      <c r="I41" s="145">
        <f t="shared" si="9"/>
        <v>1</v>
      </c>
      <c r="J41" s="142">
        <f t="shared" si="10"/>
        <v>500</v>
      </c>
      <c r="K41" s="142">
        <f t="shared" si="13"/>
        <v>400</v>
      </c>
      <c r="L41" s="142">
        <f t="shared" si="6"/>
        <v>500</v>
      </c>
      <c r="M41" s="142">
        <f t="shared" si="7"/>
        <v>400</v>
      </c>
      <c r="N41" s="126">
        <v>2027</v>
      </c>
    </row>
    <row r="42" s="126" customFormat="1" spans="1:14">
      <c r="A42" s="140" t="s">
        <v>109</v>
      </c>
      <c r="B42" s="141">
        <v>46419</v>
      </c>
      <c r="C42" s="141">
        <f t="shared" si="14"/>
        <v>46447</v>
      </c>
      <c r="D42" s="140" t="s">
        <v>73</v>
      </c>
      <c r="E42" s="140" t="s">
        <v>75</v>
      </c>
      <c r="F42" s="140" t="s">
        <v>110</v>
      </c>
      <c r="G42" s="142">
        <v>1600</v>
      </c>
      <c r="H42" s="143">
        <v>1</v>
      </c>
      <c r="I42" s="145">
        <f t="shared" si="9"/>
        <v>1</v>
      </c>
      <c r="J42" s="142">
        <f t="shared" si="10"/>
        <v>1600</v>
      </c>
      <c r="K42" s="142">
        <f t="shared" si="13"/>
        <v>1280</v>
      </c>
      <c r="L42" s="142">
        <f t="shared" si="6"/>
        <v>1600</v>
      </c>
      <c r="M42" s="142">
        <f t="shared" si="7"/>
        <v>1280</v>
      </c>
      <c r="N42" s="126">
        <v>2027</v>
      </c>
    </row>
    <row r="43" s="126" customFormat="1" spans="1:14">
      <c r="A43" s="140" t="s">
        <v>111</v>
      </c>
      <c r="B43" s="141">
        <v>46419</v>
      </c>
      <c r="C43" s="141">
        <f t="shared" si="14"/>
        <v>46447</v>
      </c>
      <c r="D43" s="140" t="s">
        <v>73</v>
      </c>
      <c r="E43" s="140" t="s">
        <v>75</v>
      </c>
      <c r="F43" s="140" t="s">
        <v>110</v>
      </c>
      <c r="G43" s="142">
        <v>1900</v>
      </c>
      <c r="H43" s="143">
        <v>1</v>
      </c>
      <c r="I43" s="145">
        <f t="shared" si="9"/>
        <v>1</v>
      </c>
      <c r="J43" s="142">
        <f t="shared" si="10"/>
        <v>1900</v>
      </c>
      <c r="K43" s="142">
        <f t="shared" si="13"/>
        <v>1520</v>
      </c>
      <c r="L43" s="142">
        <f t="shared" si="6"/>
        <v>1900</v>
      </c>
      <c r="M43" s="142">
        <f t="shared" si="7"/>
        <v>1520</v>
      </c>
      <c r="N43" s="126">
        <v>2027</v>
      </c>
    </row>
    <row r="44" spans="1:14">
      <c r="A44" s="133" t="s">
        <v>85</v>
      </c>
      <c r="B44" s="115">
        <f t="shared" ref="B44:B64" si="15">B23+365</f>
        <v>46753</v>
      </c>
      <c r="C44" s="134">
        <f t="shared" ref="C44:C49" si="16">EDATE(B44,12)</f>
        <v>47119</v>
      </c>
      <c r="D44" s="133" t="s">
        <v>86</v>
      </c>
      <c r="E44" s="133" t="s">
        <v>75</v>
      </c>
      <c r="F44" s="133" t="s">
        <v>87</v>
      </c>
      <c r="G44" s="135">
        <v>2.5</v>
      </c>
      <c r="H44" s="136">
        <f>4*12</f>
        <v>48</v>
      </c>
      <c r="I44" s="133">
        <f t="shared" si="9"/>
        <v>12</v>
      </c>
      <c r="J44" s="135">
        <f t="shared" si="10"/>
        <v>10</v>
      </c>
      <c r="K44" s="135">
        <f t="shared" ref="K44:K50" si="17">J44-(J44/5)</f>
        <v>8</v>
      </c>
      <c r="L44" s="133">
        <f t="shared" si="6"/>
        <v>120</v>
      </c>
      <c r="M44" s="133">
        <f t="shared" si="7"/>
        <v>96</v>
      </c>
      <c r="N44">
        <v>2028</v>
      </c>
    </row>
    <row r="45" spans="1:14">
      <c r="A45" s="133" t="s">
        <v>88</v>
      </c>
      <c r="B45" s="115">
        <f t="shared" si="15"/>
        <v>46753</v>
      </c>
      <c r="C45" s="134">
        <f t="shared" si="16"/>
        <v>47119</v>
      </c>
      <c r="D45" s="133" t="s">
        <v>86</v>
      </c>
      <c r="E45" s="133" t="s">
        <v>76</v>
      </c>
      <c r="F45" s="133" t="s">
        <v>87</v>
      </c>
      <c r="G45" s="135">
        <v>2.5</v>
      </c>
      <c r="H45" s="136">
        <f>8*12</f>
        <v>96</v>
      </c>
      <c r="I45" s="133">
        <f t="shared" si="9"/>
        <v>12</v>
      </c>
      <c r="J45" s="135">
        <f t="shared" si="10"/>
        <v>20</v>
      </c>
      <c r="K45" s="135">
        <f t="shared" si="17"/>
        <v>16</v>
      </c>
      <c r="L45" s="133">
        <f t="shared" si="6"/>
        <v>240</v>
      </c>
      <c r="M45" s="133">
        <f t="shared" si="7"/>
        <v>192</v>
      </c>
      <c r="N45">
        <v>2028</v>
      </c>
    </row>
    <row r="46" spans="1:14">
      <c r="A46" s="133" t="s">
        <v>89</v>
      </c>
      <c r="B46" s="115">
        <f t="shared" si="15"/>
        <v>46904</v>
      </c>
      <c r="C46" s="134">
        <f>EDATE(B46,2)</f>
        <v>46965</v>
      </c>
      <c r="D46" s="133" t="s">
        <v>86</v>
      </c>
      <c r="E46" s="133" t="s">
        <v>71</v>
      </c>
      <c r="F46" s="133" t="s">
        <v>87</v>
      </c>
      <c r="G46" s="135">
        <v>2.5</v>
      </c>
      <c r="H46" s="136">
        <v>400</v>
      </c>
      <c r="I46" s="133">
        <f t="shared" si="9"/>
        <v>2</v>
      </c>
      <c r="J46" s="135">
        <f t="shared" si="10"/>
        <v>500</v>
      </c>
      <c r="K46" s="135">
        <f t="shared" si="17"/>
        <v>400</v>
      </c>
      <c r="L46" s="133">
        <f t="shared" si="6"/>
        <v>1000</v>
      </c>
      <c r="M46" s="133">
        <f t="shared" si="7"/>
        <v>800</v>
      </c>
      <c r="N46">
        <v>2028</v>
      </c>
    </row>
    <row r="47" spans="1:14">
      <c r="A47" s="133" t="s">
        <v>90</v>
      </c>
      <c r="B47" s="115">
        <f t="shared" si="15"/>
        <v>46753</v>
      </c>
      <c r="C47" s="134">
        <f t="shared" si="16"/>
        <v>47119</v>
      </c>
      <c r="D47" s="133" t="s">
        <v>86</v>
      </c>
      <c r="E47" s="133" t="s">
        <v>91</v>
      </c>
      <c r="F47" s="133" t="s">
        <v>74</v>
      </c>
      <c r="G47" s="135">
        <v>1500</v>
      </c>
      <c r="H47" s="136">
        <v>1</v>
      </c>
      <c r="I47" s="133">
        <f t="shared" si="9"/>
        <v>12</v>
      </c>
      <c r="J47" s="135">
        <f t="shared" si="10"/>
        <v>125</v>
      </c>
      <c r="K47" s="135">
        <f t="shared" si="17"/>
        <v>100</v>
      </c>
      <c r="L47" s="133">
        <f t="shared" si="6"/>
        <v>1500</v>
      </c>
      <c r="M47" s="133">
        <f t="shared" si="7"/>
        <v>1200</v>
      </c>
      <c r="N47">
        <v>2028</v>
      </c>
    </row>
    <row r="48" spans="1:14">
      <c r="A48" s="133" t="s">
        <v>92</v>
      </c>
      <c r="B48" s="115">
        <f t="shared" si="15"/>
        <v>46753</v>
      </c>
      <c r="C48" s="134">
        <f t="shared" si="16"/>
        <v>47119</v>
      </c>
      <c r="D48" s="133" t="s">
        <v>86</v>
      </c>
      <c r="E48" s="133" t="s">
        <v>91</v>
      </c>
      <c r="F48" s="133" t="s">
        <v>74</v>
      </c>
      <c r="G48" s="135">
        <f>(35*6.7)+60</f>
        <v>294.5</v>
      </c>
      <c r="H48" s="136">
        <v>12</v>
      </c>
      <c r="I48" s="133">
        <f t="shared" si="9"/>
        <v>12</v>
      </c>
      <c r="J48" s="135">
        <f t="shared" si="10"/>
        <v>294.5</v>
      </c>
      <c r="K48" s="135">
        <f t="shared" si="17"/>
        <v>235.6</v>
      </c>
      <c r="L48" s="133">
        <f t="shared" si="6"/>
        <v>3534</v>
      </c>
      <c r="M48" s="133">
        <f t="shared" si="7"/>
        <v>2827.2</v>
      </c>
      <c r="N48">
        <v>2028</v>
      </c>
    </row>
    <row r="49" spans="1:14">
      <c r="A49" s="133" t="s">
        <v>93</v>
      </c>
      <c r="B49" s="115">
        <f t="shared" si="15"/>
        <v>46753</v>
      </c>
      <c r="C49" s="134">
        <f t="shared" si="16"/>
        <v>47119</v>
      </c>
      <c r="D49" s="133" t="s">
        <v>86</v>
      </c>
      <c r="E49" s="133" t="s">
        <v>91</v>
      </c>
      <c r="F49" s="133" t="s">
        <v>74</v>
      </c>
      <c r="G49" s="135">
        <v>4000</v>
      </c>
      <c r="H49" s="136">
        <v>1</v>
      </c>
      <c r="I49" s="133">
        <f t="shared" si="9"/>
        <v>12</v>
      </c>
      <c r="J49" s="135">
        <f t="shared" si="10"/>
        <v>333.333333333333</v>
      </c>
      <c r="K49" s="135">
        <f t="shared" si="17"/>
        <v>266.666666666667</v>
      </c>
      <c r="L49" s="133">
        <f t="shared" si="6"/>
        <v>4000</v>
      </c>
      <c r="M49" s="133">
        <f t="shared" si="7"/>
        <v>3200</v>
      </c>
      <c r="N49">
        <v>2028</v>
      </c>
    </row>
    <row r="50" spans="1:14">
      <c r="A50" s="133" t="s">
        <v>94</v>
      </c>
      <c r="B50" s="115">
        <f t="shared" si="15"/>
        <v>47087</v>
      </c>
      <c r="C50" s="134">
        <f>EDATE(B50,1)</f>
        <v>47117</v>
      </c>
      <c r="D50" s="133" t="s">
        <v>86</v>
      </c>
      <c r="E50" s="133" t="s">
        <v>76</v>
      </c>
      <c r="F50" s="133" t="s">
        <v>74</v>
      </c>
      <c r="G50" s="135">
        <v>1500</v>
      </c>
      <c r="H50" s="136">
        <v>1</v>
      </c>
      <c r="I50" s="133">
        <f t="shared" si="9"/>
        <v>1</v>
      </c>
      <c r="J50" s="135">
        <f t="shared" si="10"/>
        <v>1500</v>
      </c>
      <c r="K50" s="135">
        <f t="shared" si="17"/>
        <v>1200</v>
      </c>
      <c r="L50" s="133">
        <f t="shared" si="6"/>
        <v>1500</v>
      </c>
      <c r="M50" s="133">
        <f t="shared" si="7"/>
        <v>1200</v>
      </c>
      <c r="N50">
        <v>2028</v>
      </c>
    </row>
    <row r="51" spans="1:14">
      <c r="A51" s="133" t="s">
        <v>95</v>
      </c>
      <c r="B51" s="115">
        <f t="shared" si="15"/>
        <v>46904</v>
      </c>
      <c r="C51" s="134">
        <f>EDATE(B51,4)</f>
        <v>47026</v>
      </c>
      <c r="D51" s="133" t="s">
        <v>73</v>
      </c>
      <c r="E51" s="133" t="s">
        <v>71</v>
      </c>
      <c r="F51" s="133" t="s">
        <v>96</v>
      </c>
      <c r="G51" s="135">
        <f>53</f>
        <v>53</v>
      </c>
      <c r="H51" s="144">
        <v>200</v>
      </c>
      <c r="I51" s="138">
        <f t="shared" si="9"/>
        <v>3</v>
      </c>
      <c r="J51" s="135">
        <f t="shared" si="10"/>
        <v>3533.33333333333</v>
      </c>
      <c r="K51" s="135">
        <f>(J51-J51/5)</f>
        <v>2826.66666666667</v>
      </c>
      <c r="L51" s="135">
        <f t="shared" si="6"/>
        <v>10600</v>
      </c>
      <c r="M51" s="135">
        <f t="shared" si="7"/>
        <v>8480</v>
      </c>
      <c r="N51">
        <v>2028</v>
      </c>
    </row>
    <row r="52" spans="1:14">
      <c r="A52" s="133" t="s">
        <v>97</v>
      </c>
      <c r="B52" s="115">
        <f t="shared" si="15"/>
        <v>46753</v>
      </c>
      <c r="C52" s="134">
        <f>EDATE(B52,12)</f>
        <v>47119</v>
      </c>
      <c r="D52" s="133" t="s">
        <v>73</v>
      </c>
      <c r="E52" s="133" t="s">
        <v>75</v>
      </c>
      <c r="F52" s="133" t="s">
        <v>98</v>
      </c>
      <c r="G52" s="135">
        <f>2.4*12</f>
        <v>28.8</v>
      </c>
      <c r="H52" s="144">
        <v>182</v>
      </c>
      <c r="I52" s="138">
        <f t="shared" si="9"/>
        <v>12</v>
      </c>
      <c r="J52" s="135">
        <f t="shared" si="10"/>
        <v>436.8</v>
      </c>
      <c r="K52" s="135">
        <f>(J52-J52/5)</f>
        <v>349.44</v>
      </c>
      <c r="L52" s="135">
        <f t="shared" si="6"/>
        <v>5241.6</v>
      </c>
      <c r="M52" s="135">
        <f t="shared" si="7"/>
        <v>4193.28</v>
      </c>
      <c r="N52">
        <v>2028</v>
      </c>
    </row>
    <row r="53" spans="1:14">
      <c r="A53" s="133" t="s">
        <v>99</v>
      </c>
      <c r="B53" s="115">
        <f t="shared" si="15"/>
        <v>46904</v>
      </c>
      <c r="C53" s="134">
        <f>EDATE(B53,2)</f>
        <v>46965</v>
      </c>
      <c r="D53" s="133" t="s">
        <v>73</v>
      </c>
      <c r="E53" s="133" t="s">
        <v>71</v>
      </c>
      <c r="F53" s="133" t="s">
        <v>96</v>
      </c>
      <c r="G53" s="135">
        <v>2</v>
      </c>
      <c r="H53" s="137">
        <f>H51</f>
        <v>200</v>
      </c>
      <c r="I53" s="138">
        <f t="shared" si="9"/>
        <v>2</v>
      </c>
      <c r="J53" s="135">
        <f t="shared" si="10"/>
        <v>200</v>
      </c>
      <c r="K53" s="135">
        <f>(J53-J53/5)</f>
        <v>160</v>
      </c>
      <c r="L53" s="135">
        <f t="shared" si="6"/>
        <v>400</v>
      </c>
      <c r="M53" s="135">
        <f t="shared" si="7"/>
        <v>320</v>
      </c>
      <c r="N53">
        <v>2028</v>
      </c>
    </row>
    <row r="54" spans="1:14">
      <c r="A54" s="133" t="s">
        <v>100</v>
      </c>
      <c r="B54" s="115">
        <f t="shared" si="15"/>
        <v>46753</v>
      </c>
      <c r="C54" s="134">
        <f>EDATE(B54,12)</f>
        <v>47119</v>
      </c>
      <c r="D54" s="133" t="s">
        <v>73</v>
      </c>
      <c r="E54" s="133" t="s">
        <v>75</v>
      </c>
      <c r="F54" s="133" t="s">
        <v>98</v>
      </c>
      <c r="G54" s="135">
        <v>16</v>
      </c>
      <c r="H54" s="137">
        <f>H52</f>
        <v>182</v>
      </c>
      <c r="I54" s="138">
        <f t="shared" si="9"/>
        <v>12</v>
      </c>
      <c r="J54" s="135">
        <f t="shared" si="10"/>
        <v>242.666666666667</v>
      </c>
      <c r="K54" s="135">
        <f t="shared" ref="K54:K67" si="18">(J54-J54/5)</f>
        <v>194.133333333333</v>
      </c>
      <c r="L54" s="135">
        <f t="shared" si="6"/>
        <v>2912</v>
      </c>
      <c r="M54" s="135">
        <f t="shared" si="7"/>
        <v>2329.6</v>
      </c>
      <c r="N54">
        <v>2028</v>
      </c>
    </row>
    <row r="55" spans="1:14">
      <c r="A55" s="133" t="s">
        <v>101</v>
      </c>
      <c r="B55" s="115">
        <f t="shared" si="15"/>
        <v>47087</v>
      </c>
      <c r="C55" s="134">
        <f>EDATE(B55,1)</f>
        <v>47117</v>
      </c>
      <c r="D55" s="133" t="s">
        <v>73</v>
      </c>
      <c r="E55" s="133" t="s">
        <v>76</v>
      </c>
      <c r="F55" s="133" t="s">
        <v>74</v>
      </c>
      <c r="G55" s="133">
        <v>5500</v>
      </c>
      <c r="H55" s="147">
        <v>1</v>
      </c>
      <c r="I55" s="138">
        <f t="shared" si="9"/>
        <v>1</v>
      </c>
      <c r="J55" s="135">
        <f t="shared" si="10"/>
        <v>5500</v>
      </c>
      <c r="K55" s="135">
        <f t="shared" si="18"/>
        <v>4400</v>
      </c>
      <c r="L55" s="135">
        <f t="shared" si="6"/>
        <v>5500</v>
      </c>
      <c r="M55" s="135">
        <f t="shared" si="7"/>
        <v>4400</v>
      </c>
      <c r="N55">
        <v>2028</v>
      </c>
    </row>
    <row r="56" spans="1:14">
      <c r="A56" s="133" t="s">
        <v>102</v>
      </c>
      <c r="B56" s="115">
        <f t="shared" si="15"/>
        <v>46753</v>
      </c>
      <c r="C56" s="134">
        <f>EDATE(B56,4)</f>
        <v>46874</v>
      </c>
      <c r="D56" s="133" t="s">
        <v>73</v>
      </c>
      <c r="E56" s="133" t="s">
        <v>76</v>
      </c>
      <c r="F56" s="133" t="s">
        <v>74</v>
      </c>
      <c r="G56" s="133">
        <v>400</v>
      </c>
      <c r="H56" s="147">
        <v>7</v>
      </c>
      <c r="I56" s="138">
        <f t="shared" si="9"/>
        <v>4</v>
      </c>
      <c r="J56" s="135">
        <f t="shared" si="10"/>
        <v>700</v>
      </c>
      <c r="K56" s="135">
        <f t="shared" si="18"/>
        <v>560</v>
      </c>
      <c r="L56" s="135">
        <f t="shared" si="6"/>
        <v>2800</v>
      </c>
      <c r="M56" s="135">
        <f t="shared" si="7"/>
        <v>2240</v>
      </c>
      <c r="N56">
        <v>2028</v>
      </c>
    </row>
    <row r="57" spans="1:14">
      <c r="A57" s="133" t="s">
        <v>103</v>
      </c>
      <c r="B57" s="115">
        <f t="shared" si="15"/>
        <v>47026</v>
      </c>
      <c r="C57" s="134">
        <f>EDATE(B57,3)</f>
        <v>47117</v>
      </c>
      <c r="D57" s="133" t="s">
        <v>73</v>
      </c>
      <c r="E57" s="133" t="s">
        <v>76</v>
      </c>
      <c r="F57" s="133" t="s">
        <v>74</v>
      </c>
      <c r="G57" s="133">
        <v>400</v>
      </c>
      <c r="H57" s="133">
        <f>H56-H55</f>
        <v>6</v>
      </c>
      <c r="I57" s="138">
        <f t="shared" si="9"/>
        <v>3</v>
      </c>
      <c r="J57" s="135">
        <f t="shared" si="10"/>
        <v>800</v>
      </c>
      <c r="K57" s="135">
        <f t="shared" si="18"/>
        <v>640</v>
      </c>
      <c r="L57" s="135">
        <f t="shared" si="6"/>
        <v>2400</v>
      </c>
      <c r="M57" s="135">
        <f t="shared" si="7"/>
        <v>1920</v>
      </c>
      <c r="N57">
        <v>2028</v>
      </c>
    </row>
    <row r="58" spans="1:14">
      <c r="A58" s="133" t="s">
        <v>104</v>
      </c>
      <c r="B58" s="115">
        <f t="shared" si="15"/>
        <v>46873</v>
      </c>
      <c r="C58" s="134">
        <f>EDATE(B58,3)</f>
        <v>46964</v>
      </c>
      <c r="D58" s="133" t="s">
        <v>73</v>
      </c>
      <c r="E58" s="133" t="s">
        <v>77</v>
      </c>
      <c r="F58" s="133" t="s">
        <v>74</v>
      </c>
      <c r="G58" s="139">
        <v>0.12</v>
      </c>
      <c r="H58" s="144">
        <v>4000</v>
      </c>
      <c r="I58" s="138">
        <f t="shared" si="9"/>
        <v>3</v>
      </c>
      <c r="J58" s="135">
        <f t="shared" si="10"/>
        <v>160</v>
      </c>
      <c r="K58" s="135">
        <f t="shared" si="18"/>
        <v>128</v>
      </c>
      <c r="L58" s="135">
        <f t="shared" si="6"/>
        <v>480</v>
      </c>
      <c r="M58" s="135">
        <f t="shared" si="7"/>
        <v>384</v>
      </c>
      <c r="N58">
        <v>2028</v>
      </c>
    </row>
    <row r="59" spans="1:14">
      <c r="A59" s="133" t="s">
        <v>105</v>
      </c>
      <c r="B59" s="115">
        <f t="shared" si="15"/>
        <v>47087</v>
      </c>
      <c r="C59" s="134">
        <f t="shared" ref="C59:C64" si="19">EDATE(B59,1)</f>
        <v>47117</v>
      </c>
      <c r="D59" s="133" t="s">
        <v>73</v>
      </c>
      <c r="E59" s="133" t="s">
        <v>77</v>
      </c>
      <c r="F59" s="133" t="s">
        <v>74</v>
      </c>
      <c r="G59" s="133">
        <v>0.7</v>
      </c>
      <c r="H59" s="137">
        <f>0.6*H58*2</f>
        <v>4800</v>
      </c>
      <c r="I59" s="138">
        <f t="shared" si="9"/>
        <v>1</v>
      </c>
      <c r="J59" s="135">
        <f t="shared" si="10"/>
        <v>3360</v>
      </c>
      <c r="K59" s="135">
        <f t="shared" si="18"/>
        <v>2688</v>
      </c>
      <c r="L59" s="135">
        <f t="shared" si="6"/>
        <v>3360</v>
      </c>
      <c r="M59" s="135">
        <f t="shared" si="7"/>
        <v>2688</v>
      </c>
      <c r="N59">
        <v>2028</v>
      </c>
    </row>
    <row r="60" spans="1:14">
      <c r="A60" s="133" t="s">
        <v>106</v>
      </c>
      <c r="B60" s="115">
        <f t="shared" si="15"/>
        <v>47087</v>
      </c>
      <c r="C60" s="134">
        <f t="shared" si="19"/>
        <v>47117</v>
      </c>
      <c r="D60" s="133" t="s">
        <v>73</v>
      </c>
      <c r="E60" s="133" t="s">
        <v>79</v>
      </c>
      <c r="F60" s="133" t="s">
        <v>74</v>
      </c>
      <c r="G60" s="133">
        <v>0.7</v>
      </c>
      <c r="H60" s="137">
        <f>H62</f>
        <v>2500</v>
      </c>
      <c r="I60" s="138">
        <f t="shared" si="9"/>
        <v>1</v>
      </c>
      <c r="J60" s="135">
        <f t="shared" si="10"/>
        <v>1750</v>
      </c>
      <c r="K60" s="135">
        <f t="shared" si="18"/>
        <v>1400</v>
      </c>
      <c r="L60" s="135">
        <f t="shared" si="6"/>
        <v>1750</v>
      </c>
      <c r="M60" s="135">
        <f t="shared" si="7"/>
        <v>1400</v>
      </c>
      <c r="N60">
        <v>2028</v>
      </c>
    </row>
    <row r="61" spans="1:14">
      <c r="A61" s="133" t="s">
        <v>107</v>
      </c>
      <c r="B61" s="115">
        <f t="shared" si="15"/>
        <v>47087</v>
      </c>
      <c r="C61" s="134">
        <f t="shared" si="19"/>
        <v>47117</v>
      </c>
      <c r="D61" s="133" t="s">
        <v>73</v>
      </c>
      <c r="E61" s="133" t="s">
        <v>75</v>
      </c>
      <c r="F61" s="133" t="s">
        <v>74</v>
      </c>
      <c r="G61" s="133">
        <v>1.8</v>
      </c>
      <c r="H61" s="137">
        <f>H52*(250/300)*365/12</f>
        <v>4613.19444444445</v>
      </c>
      <c r="I61" s="138">
        <f t="shared" ref="I61:I98" si="20">DATEDIF(B61,C61,"m")</f>
        <v>1</v>
      </c>
      <c r="J61" s="135">
        <f t="shared" ref="J61:J98" si="21">H61*G61/I61</f>
        <v>8303.75</v>
      </c>
      <c r="K61" s="135">
        <f t="shared" si="18"/>
        <v>6643</v>
      </c>
      <c r="L61" s="135">
        <f t="shared" ref="L61:L81" si="22">J61*I61</f>
        <v>8303.75</v>
      </c>
      <c r="M61" s="135">
        <f t="shared" ref="M61:M81" si="23">K61*I61</f>
        <v>6643</v>
      </c>
      <c r="N61">
        <v>2028</v>
      </c>
    </row>
    <row r="62" spans="1:14">
      <c r="A62" s="133" t="s">
        <v>108</v>
      </c>
      <c r="B62" s="115">
        <f t="shared" si="15"/>
        <v>46784</v>
      </c>
      <c r="C62" s="134">
        <f t="shared" si="19"/>
        <v>46813</v>
      </c>
      <c r="D62" s="133" t="s">
        <v>73</v>
      </c>
      <c r="E62" s="133" t="s">
        <v>79</v>
      </c>
      <c r="F62" s="133" t="s">
        <v>74</v>
      </c>
      <c r="G62" s="133">
        <v>0.2</v>
      </c>
      <c r="H62" s="147">
        <v>2500</v>
      </c>
      <c r="I62" s="138">
        <f t="shared" si="20"/>
        <v>1</v>
      </c>
      <c r="J62" s="135">
        <f t="shared" si="21"/>
        <v>500</v>
      </c>
      <c r="K62" s="135">
        <f t="shared" si="18"/>
        <v>400</v>
      </c>
      <c r="L62" s="135">
        <f t="shared" si="22"/>
        <v>500</v>
      </c>
      <c r="M62" s="135">
        <f t="shared" si="23"/>
        <v>400</v>
      </c>
      <c r="N62">
        <v>2028</v>
      </c>
    </row>
    <row r="63" spans="1:14">
      <c r="A63" s="133" t="s">
        <v>109</v>
      </c>
      <c r="B63" s="115">
        <f t="shared" si="15"/>
        <v>46784</v>
      </c>
      <c r="C63" s="134">
        <f t="shared" si="19"/>
        <v>46813</v>
      </c>
      <c r="D63" s="133" t="s">
        <v>73</v>
      </c>
      <c r="E63" s="133" t="s">
        <v>75</v>
      </c>
      <c r="F63" s="133" t="s">
        <v>110</v>
      </c>
      <c r="G63" s="135">
        <v>1600</v>
      </c>
      <c r="H63" s="136">
        <v>1</v>
      </c>
      <c r="I63" s="138">
        <f t="shared" si="20"/>
        <v>1</v>
      </c>
      <c r="J63" s="135">
        <f t="shared" si="21"/>
        <v>1600</v>
      </c>
      <c r="K63" s="135">
        <f t="shared" si="18"/>
        <v>1280</v>
      </c>
      <c r="L63" s="135">
        <f t="shared" si="22"/>
        <v>1600</v>
      </c>
      <c r="M63" s="135">
        <f t="shared" si="23"/>
        <v>1280</v>
      </c>
      <c r="N63">
        <v>2028</v>
      </c>
    </row>
    <row r="64" spans="1:14">
      <c r="A64" s="133" t="s">
        <v>111</v>
      </c>
      <c r="B64" s="115">
        <f t="shared" si="15"/>
        <v>46784</v>
      </c>
      <c r="C64" s="134">
        <f t="shared" si="19"/>
        <v>46813</v>
      </c>
      <c r="D64" s="133" t="s">
        <v>73</v>
      </c>
      <c r="E64" s="133" t="s">
        <v>75</v>
      </c>
      <c r="F64" s="133" t="s">
        <v>110</v>
      </c>
      <c r="G64" s="135">
        <v>1900</v>
      </c>
      <c r="H64" s="136">
        <v>1</v>
      </c>
      <c r="I64" s="138">
        <f t="shared" si="20"/>
        <v>1</v>
      </c>
      <c r="J64" s="135">
        <f t="shared" si="21"/>
        <v>1900</v>
      </c>
      <c r="K64" s="135">
        <f t="shared" si="18"/>
        <v>1520</v>
      </c>
      <c r="L64" s="135">
        <f t="shared" si="22"/>
        <v>1900</v>
      </c>
      <c r="M64" s="135">
        <f t="shared" si="23"/>
        <v>1520</v>
      </c>
      <c r="N64">
        <v>2028</v>
      </c>
    </row>
    <row r="65" s="126" customFormat="1" spans="1:14">
      <c r="A65" s="140" t="s">
        <v>85</v>
      </c>
      <c r="B65" s="141">
        <f t="shared" ref="B65:B74" si="24">B44+366</f>
        <v>47119</v>
      </c>
      <c r="C65" s="141">
        <f t="shared" ref="C65:C70" si="25">EDATE(B65,12)</f>
        <v>47484</v>
      </c>
      <c r="D65" s="140" t="s">
        <v>86</v>
      </c>
      <c r="E65" s="140" t="s">
        <v>75</v>
      </c>
      <c r="F65" s="140" t="s">
        <v>87</v>
      </c>
      <c r="G65" s="142">
        <v>2.5</v>
      </c>
      <c r="H65" s="143">
        <f>4*12</f>
        <v>48</v>
      </c>
      <c r="I65" s="140">
        <f t="shared" si="20"/>
        <v>12</v>
      </c>
      <c r="J65" s="142">
        <f t="shared" si="21"/>
        <v>10</v>
      </c>
      <c r="K65" s="142">
        <f t="shared" ref="K65:K71" si="26">J65-(J65/5)</f>
        <v>8</v>
      </c>
      <c r="L65" s="140">
        <f t="shared" si="22"/>
        <v>120</v>
      </c>
      <c r="M65" s="140">
        <f t="shared" si="23"/>
        <v>96</v>
      </c>
      <c r="N65" s="126">
        <v>2029</v>
      </c>
    </row>
    <row r="66" s="126" customFormat="1" spans="1:14">
      <c r="A66" s="140" t="s">
        <v>88</v>
      </c>
      <c r="B66" s="141">
        <f t="shared" si="24"/>
        <v>47119</v>
      </c>
      <c r="C66" s="141">
        <f t="shared" si="25"/>
        <v>47484</v>
      </c>
      <c r="D66" s="140" t="s">
        <v>86</v>
      </c>
      <c r="E66" s="140" t="s">
        <v>76</v>
      </c>
      <c r="F66" s="140" t="s">
        <v>87</v>
      </c>
      <c r="G66" s="142">
        <v>2.5</v>
      </c>
      <c r="H66" s="143">
        <f>8*12</f>
        <v>96</v>
      </c>
      <c r="I66" s="140">
        <f t="shared" si="20"/>
        <v>12</v>
      </c>
      <c r="J66" s="142">
        <f t="shared" si="21"/>
        <v>20</v>
      </c>
      <c r="K66" s="142">
        <f t="shared" si="26"/>
        <v>16</v>
      </c>
      <c r="L66" s="140">
        <f t="shared" si="22"/>
        <v>240</v>
      </c>
      <c r="M66" s="140">
        <f t="shared" si="23"/>
        <v>192</v>
      </c>
      <c r="N66" s="126">
        <v>2029</v>
      </c>
    </row>
    <row r="67" s="126" customFormat="1" spans="1:14">
      <c r="A67" s="140" t="s">
        <v>89</v>
      </c>
      <c r="B67" s="141">
        <f t="shared" si="24"/>
        <v>47270</v>
      </c>
      <c r="C67" s="141">
        <f>EDATE(B67,2)</f>
        <v>47331</v>
      </c>
      <c r="D67" s="140" t="s">
        <v>86</v>
      </c>
      <c r="E67" s="140" t="s">
        <v>71</v>
      </c>
      <c r="F67" s="140" t="s">
        <v>87</v>
      </c>
      <c r="G67" s="142">
        <v>2.5</v>
      </c>
      <c r="H67" s="143">
        <v>400</v>
      </c>
      <c r="I67" s="140">
        <f t="shared" si="20"/>
        <v>2</v>
      </c>
      <c r="J67" s="142">
        <f t="shared" si="21"/>
        <v>500</v>
      </c>
      <c r="K67" s="142">
        <f t="shared" si="26"/>
        <v>400</v>
      </c>
      <c r="L67" s="140">
        <f t="shared" si="22"/>
        <v>1000</v>
      </c>
      <c r="M67" s="140">
        <f t="shared" si="23"/>
        <v>800</v>
      </c>
      <c r="N67" s="126">
        <v>2029</v>
      </c>
    </row>
    <row r="68" s="126" customFormat="1" spans="1:14">
      <c r="A68" s="140" t="s">
        <v>90</v>
      </c>
      <c r="B68" s="141">
        <f t="shared" si="24"/>
        <v>47119</v>
      </c>
      <c r="C68" s="141">
        <f t="shared" si="25"/>
        <v>47484</v>
      </c>
      <c r="D68" s="140" t="s">
        <v>86</v>
      </c>
      <c r="E68" s="140" t="s">
        <v>91</v>
      </c>
      <c r="F68" s="140" t="s">
        <v>74</v>
      </c>
      <c r="G68" s="142">
        <v>1500</v>
      </c>
      <c r="H68" s="143">
        <v>1</v>
      </c>
      <c r="I68" s="140">
        <f t="shared" si="20"/>
        <v>12</v>
      </c>
      <c r="J68" s="142">
        <f t="shared" si="21"/>
        <v>125</v>
      </c>
      <c r="K68" s="142">
        <f t="shared" si="26"/>
        <v>100</v>
      </c>
      <c r="L68" s="140">
        <f t="shared" si="22"/>
        <v>1500</v>
      </c>
      <c r="M68" s="140">
        <f t="shared" si="23"/>
        <v>1200</v>
      </c>
      <c r="N68" s="126">
        <v>2029</v>
      </c>
    </row>
    <row r="69" s="126" customFormat="1" spans="1:14">
      <c r="A69" s="140" t="s">
        <v>92</v>
      </c>
      <c r="B69" s="141">
        <f t="shared" si="24"/>
        <v>47119</v>
      </c>
      <c r="C69" s="141">
        <f t="shared" si="25"/>
        <v>47484</v>
      </c>
      <c r="D69" s="140" t="s">
        <v>86</v>
      </c>
      <c r="E69" s="140" t="s">
        <v>91</v>
      </c>
      <c r="F69" s="140" t="s">
        <v>74</v>
      </c>
      <c r="G69" s="142">
        <f>(35*6.7)+60</f>
        <v>294.5</v>
      </c>
      <c r="H69" s="143">
        <v>12</v>
      </c>
      <c r="I69" s="140">
        <f t="shared" si="20"/>
        <v>12</v>
      </c>
      <c r="J69" s="142">
        <f t="shared" si="21"/>
        <v>294.5</v>
      </c>
      <c r="K69" s="142">
        <f t="shared" si="26"/>
        <v>235.6</v>
      </c>
      <c r="L69" s="140">
        <f t="shared" si="22"/>
        <v>3534</v>
      </c>
      <c r="M69" s="140">
        <f t="shared" si="23"/>
        <v>2827.2</v>
      </c>
      <c r="N69" s="126">
        <v>2029</v>
      </c>
    </row>
    <row r="70" s="126" customFormat="1" spans="1:14">
      <c r="A70" s="140" t="s">
        <v>93</v>
      </c>
      <c r="B70" s="141">
        <f t="shared" si="24"/>
        <v>47119</v>
      </c>
      <c r="C70" s="141">
        <f t="shared" si="25"/>
        <v>47484</v>
      </c>
      <c r="D70" s="140" t="s">
        <v>86</v>
      </c>
      <c r="E70" s="140" t="s">
        <v>91</v>
      </c>
      <c r="F70" s="140" t="s">
        <v>74</v>
      </c>
      <c r="G70" s="142">
        <v>4000</v>
      </c>
      <c r="H70" s="143">
        <v>1</v>
      </c>
      <c r="I70" s="140">
        <f t="shared" si="20"/>
        <v>12</v>
      </c>
      <c r="J70" s="142">
        <f t="shared" si="21"/>
        <v>333.333333333333</v>
      </c>
      <c r="K70" s="142">
        <f t="shared" si="26"/>
        <v>266.666666666667</v>
      </c>
      <c r="L70" s="140">
        <f t="shared" si="22"/>
        <v>4000</v>
      </c>
      <c r="M70" s="140">
        <f t="shared" si="23"/>
        <v>3200</v>
      </c>
      <c r="N70" s="126">
        <v>2029</v>
      </c>
    </row>
    <row r="71" s="126" customFormat="1" spans="1:14">
      <c r="A71" s="140" t="s">
        <v>94</v>
      </c>
      <c r="B71" s="141">
        <f t="shared" si="24"/>
        <v>47453</v>
      </c>
      <c r="C71" s="141">
        <f>EDATE(B71,1)</f>
        <v>47484</v>
      </c>
      <c r="D71" s="140" t="s">
        <v>86</v>
      </c>
      <c r="E71" s="140" t="s">
        <v>76</v>
      </c>
      <c r="F71" s="140" t="s">
        <v>74</v>
      </c>
      <c r="G71" s="142">
        <v>1500</v>
      </c>
      <c r="H71" s="143">
        <v>1</v>
      </c>
      <c r="I71" s="140">
        <f t="shared" si="20"/>
        <v>1</v>
      </c>
      <c r="J71" s="142">
        <f t="shared" si="21"/>
        <v>1500</v>
      </c>
      <c r="K71" s="142">
        <f t="shared" si="26"/>
        <v>1200</v>
      </c>
      <c r="L71" s="140">
        <f t="shared" si="22"/>
        <v>1500</v>
      </c>
      <c r="M71" s="140">
        <f t="shared" si="23"/>
        <v>1200</v>
      </c>
      <c r="N71" s="126">
        <v>2029</v>
      </c>
    </row>
    <row r="72" s="126" customFormat="1" spans="1:14">
      <c r="A72" s="140" t="s">
        <v>95</v>
      </c>
      <c r="B72" s="141">
        <f t="shared" si="24"/>
        <v>47270</v>
      </c>
      <c r="C72" s="141">
        <f>EDATE(B72,4)</f>
        <v>47392</v>
      </c>
      <c r="D72" s="140" t="s">
        <v>73</v>
      </c>
      <c r="E72" s="140" t="s">
        <v>71</v>
      </c>
      <c r="F72" s="140" t="s">
        <v>96</v>
      </c>
      <c r="G72" s="142">
        <f>53</f>
        <v>53</v>
      </c>
      <c r="H72" s="144">
        <v>200</v>
      </c>
      <c r="I72" s="145">
        <f t="shared" si="20"/>
        <v>4</v>
      </c>
      <c r="J72" s="142">
        <f t="shared" si="21"/>
        <v>2650</v>
      </c>
      <c r="K72" s="142">
        <f>(J72-J72/5)</f>
        <v>2120</v>
      </c>
      <c r="L72" s="142">
        <f t="shared" si="22"/>
        <v>10600</v>
      </c>
      <c r="M72" s="142">
        <f t="shared" si="23"/>
        <v>8480</v>
      </c>
      <c r="N72" s="126">
        <v>2029</v>
      </c>
    </row>
    <row r="73" s="126" customFormat="1" spans="1:14">
      <c r="A73" s="140" t="s">
        <v>97</v>
      </c>
      <c r="B73" s="141">
        <f t="shared" si="24"/>
        <v>47119</v>
      </c>
      <c r="C73" s="141">
        <f>EDATE(B73,12)</f>
        <v>47484</v>
      </c>
      <c r="D73" s="140" t="s">
        <v>73</v>
      </c>
      <c r="E73" s="140" t="s">
        <v>75</v>
      </c>
      <c r="F73" s="140" t="s">
        <v>98</v>
      </c>
      <c r="G73" s="142">
        <f>2.4*12</f>
        <v>28.8</v>
      </c>
      <c r="H73" s="144">
        <v>282</v>
      </c>
      <c r="I73" s="145">
        <f t="shared" si="20"/>
        <v>12</v>
      </c>
      <c r="J73" s="142">
        <f t="shared" si="21"/>
        <v>676.8</v>
      </c>
      <c r="K73" s="142">
        <f>(J73-J73/5)</f>
        <v>541.44</v>
      </c>
      <c r="L73" s="142">
        <f t="shared" si="22"/>
        <v>8121.6</v>
      </c>
      <c r="M73" s="142">
        <f t="shared" si="23"/>
        <v>6497.28</v>
      </c>
      <c r="N73" s="126">
        <v>2029</v>
      </c>
    </row>
    <row r="74" s="126" customFormat="1" spans="1:14">
      <c r="A74" s="140" t="s">
        <v>99</v>
      </c>
      <c r="B74" s="141">
        <f t="shared" si="24"/>
        <v>47270</v>
      </c>
      <c r="C74" s="141">
        <f>EDATE(B74,2)</f>
        <v>47331</v>
      </c>
      <c r="D74" s="140" t="s">
        <v>73</v>
      </c>
      <c r="E74" s="140" t="s">
        <v>71</v>
      </c>
      <c r="F74" s="140" t="s">
        <v>96</v>
      </c>
      <c r="G74" s="142">
        <v>2</v>
      </c>
      <c r="H74" s="146">
        <f>H72</f>
        <v>200</v>
      </c>
      <c r="I74" s="145">
        <f t="shared" si="20"/>
        <v>2</v>
      </c>
      <c r="J74" s="142">
        <f t="shared" si="21"/>
        <v>200</v>
      </c>
      <c r="K74" s="142">
        <f>(J74-J74/5)</f>
        <v>160</v>
      </c>
      <c r="L74" s="142">
        <f t="shared" si="22"/>
        <v>400</v>
      </c>
      <c r="M74" s="142">
        <f t="shared" si="23"/>
        <v>320</v>
      </c>
      <c r="N74" s="126">
        <v>2029</v>
      </c>
    </row>
    <row r="75" s="126" customFormat="1" spans="1:14">
      <c r="A75" s="140" t="s">
        <v>100</v>
      </c>
      <c r="B75" s="141">
        <f t="shared" ref="B75:B88" si="27">B54+366</f>
        <v>47119</v>
      </c>
      <c r="C75" s="141">
        <f>EDATE(B75,12)</f>
        <v>47484</v>
      </c>
      <c r="D75" s="140" t="s">
        <v>73</v>
      </c>
      <c r="E75" s="140" t="s">
        <v>75</v>
      </c>
      <c r="F75" s="140" t="s">
        <v>98</v>
      </c>
      <c r="G75" s="142">
        <v>16</v>
      </c>
      <c r="H75" s="146">
        <f>H73</f>
        <v>282</v>
      </c>
      <c r="I75" s="145">
        <f t="shared" si="20"/>
        <v>12</v>
      </c>
      <c r="J75" s="142">
        <f t="shared" si="21"/>
        <v>376</v>
      </c>
      <c r="K75" s="142">
        <f t="shared" ref="K75:K88" si="28">(J75-J75/5)</f>
        <v>300.8</v>
      </c>
      <c r="L75" s="142">
        <f t="shared" si="22"/>
        <v>4512</v>
      </c>
      <c r="M75" s="142">
        <f t="shared" si="23"/>
        <v>3609.6</v>
      </c>
      <c r="N75" s="126">
        <v>2029</v>
      </c>
    </row>
    <row r="76" s="126" customFormat="1" spans="1:14">
      <c r="A76" s="140" t="s">
        <v>101</v>
      </c>
      <c r="B76" s="141">
        <f t="shared" si="27"/>
        <v>47453</v>
      </c>
      <c r="C76" s="141">
        <f>EDATE(B76,1)</f>
        <v>47484</v>
      </c>
      <c r="D76" s="140" t="s">
        <v>73</v>
      </c>
      <c r="E76" s="140" t="s">
        <v>76</v>
      </c>
      <c r="F76" s="140" t="s">
        <v>74</v>
      </c>
      <c r="G76" s="140">
        <v>5500</v>
      </c>
      <c r="H76" s="147">
        <v>1</v>
      </c>
      <c r="I76" s="145">
        <f t="shared" si="20"/>
        <v>1</v>
      </c>
      <c r="J76" s="142">
        <f t="shared" si="21"/>
        <v>5500</v>
      </c>
      <c r="K76" s="142">
        <f t="shared" si="28"/>
        <v>4400</v>
      </c>
      <c r="L76" s="142">
        <f t="shared" si="22"/>
        <v>5500</v>
      </c>
      <c r="M76" s="142">
        <f t="shared" si="23"/>
        <v>4400</v>
      </c>
      <c r="N76" s="126">
        <v>2029</v>
      </c>
    </row>
    <row r="77" s="126" customFormat="1" spans="1:14">
      <c r="A77" s="140" t="s">
        <v>102</v>
      </c>
      <c r="B77" s="141">
        <f t="shared" si="27"/>
        <v>47119</v>
      </c>
      <c r="C77" s="141">
        <f>EDATE(B77,4)</f>
        <v>47239</v>
      </c>
      <c r="D77" s="140" t="s">
        <v>73</v>
      </c>
      <c r="E77" s="140" t="s">
        <v>76</v>
      </c>
      <c r="F77" s="140" t="s">
        <v>74</v>
      </c>
      <c r="G77" s="140">
        <v>400</v>
      </c>
      <c r="H77" s="147">
        <v>10</v>
      </c>
      <c r="I77" s="145">
        <f t="shared" si="20"/>
        <v>4</v>
      </c>
      <c r="J77" s="142">
        <f t="shared" si="21"/>
        <v>1000</v>
      </c>
      <c r="K77" s="142">
        <f t="shared" si="28"/>
        <v>800</v>
      </c>
      <c r="L77" s="142">
        <f t="shared" si="22"/>
        <v>4000</v>
      </c>
      <c r="M77" s="142">
        <f t="shared" si="23"/>
        <v>3200</v>
      </c>
      <c r="N77" s="126">
        <v>2029</v>
      </c>
    </row>
    <row r="78" s="126" customFormat="1" spans="1:14">
      <c r="A78" s="140" t="s">
        <v>103</v>
      </c>
      <c r="B78" s="141">
        <f t="shared" si="27"/>
        <v>47392</v>
      </c>
      <c r="C78" s="141">
        <f>EDATE(B78,3)</f>
        <v>47484</v>
      </c>
      <c r="D78" s="140" t="s">
        <v>73</v>
      </c>
      <c r="E78" s="140" t="s">
        <v>76</v>
      </c>
      <c r="F78" s="140" t="s">
        <v>74</v>
      </c>
      <c r="G78" s="140">
        <v>400</v>
      </c>
      <c r="H78" s="145">
        <f>H77-H76</f>
        <v>9</v>
      </c>
      <c r="I78" s="145">
        <f t="shared" si="20"/>
        <v>3</v>
      </c>
      <c r="J78" s="142">
        <f t="shared" si="21"/>
        <v>1200</v>
      </c>
      <c r="K78" s="142">
        <f t="shared" si="28"/>
        <v>960</v>
      </c>
      <c r="L78" s="142">
        <f t="shared" si="22"/>
        <v>3600</v>
      </c>
      <c r="M78" s="142">
        <f t="shared" si="23"/>
        <v>2880</v>
      </c>
      <c r="N78" s="126">
        <v>2029</v>
      </c>
    </row>
    <row r="79" s="126" customFormat="1" spans="1:14">
      <c r="A79" s="140" t="s">
        <v>104</v>
      </c>
      <c r="B79" s="141">
        <f t="shared" si="27"/>
        <v>47239</v>
      </c>
      <c r="C79" s="141">
        <f>EDATE(B79,3)</f>
        <v>47331</v>
      </c>
      <c r="D79" s="140" t="s">
        <v>73</v>
      </c>
      <c r="E79" s="140" t="s">
        <v>77</v>
      </c>
      <c r="F79" s="140" t="s">
        <v>74</v>
      </c>
      <c r="G79" s="148">
        <v>0.12</v>
      </c>
      <c r="H79" s="144">
        <v>4000</v>
      </c>
      <c r="I79" s="145">
        <f t="shared" si="20"/>
        <v>3</v>
      </c>
      <c r="J79" s="142">
        <f t="shared" si="21"/>
        <v>160</v>
      </c>
      <c r="K79" s="142">
        <f t="shared" si="28"/>
        <v>128</v>
      </c>
      <c r="L79" s="142">
        <f t="shared" si="22"/>
        <v>480</v>
      </c>
      <c r="M79" s="142">
        <f t="shared" si="23"/>
        <v>384</v>
      </c>
      <c r="N79" s="126">
        <v>2029</v>
      </c>
    </row>
    <row r="80" s="126" customFormat="1" spans="1:14">
      <c r="A80" s="140" t="s">
        <v>105</v>
      </c>
      <c r="B80" s="141">
        <f t="shared" si="27"/>
        <v>47453</v>
      </c>
      <c r="C80" s="141">
        <f t="shared" ref="C80:C85" si="29">EDATE(B80,1)</f>
        <v>47484</v>
      </c>
      <c r="D80" s="140" t="s">
        <v>73</v>
      </c>
      <c r="E80" s="140" t="s">
        <v>77</v>
      </c>
      <c r="F80" s="140" t="s">
        <v>74</v>
      </c>
      <c r="G80" s="140">
        <v>0.7</v>
      </c>
      <c r="H80" s="146">
        <f>0.6*H79*2</f>
        <v>4800</v>
      </c>
      <c r="I80" s="145">
        <f t="shared" si="20"/>
        <v>1</v>
      </c>
      <c r="J80" s="142">
        <f t="shared" si="21"/>
        <v>3360</v>
      </c>
      <c r="K80" s="142">
        <f t="shared" si="28"/>
        <v>2688</v>
      </c>
      <c r="L80" s="142">
        <f t="shared" si="22"/>
        <v>3360</v>
      </c>
      <c r="M80" s="142">
        <f t="shared" si="23"/>
        <v>2688</v>
      </c>
      <c r="N80" s="126">
        <v>2029</v>
      </c>
    </row>
    <row r="81" s="126" customFormat="1" spans="1:14">
      <c r="A81" s="140" t="s">
        <v>106</v>
      </c>
      <c r="B81" s="141">
        <f t="shared" si="27"/>
        <v>47453</v>
      </c>
      <c r="C81" s="141">
        <f t="shared" si="29"/>
        <v>47484</v>
      </c>
      <c r="D81" s="140" t="s">
        <v>73</v>
      </c>
      <c r="E81" s="140" t="s">
        <v>79</v>
      </c>
      <c r="F81" s="140" t="s">
        <v>74</v>
      </c>
      <c r="G81" s="140">
        <v>0.7</v>
      </c>
      <c r="H81" s="146">
        <f>H83</f>
        <v>2500</v>
      </c>
      <c r="I81" s="145">
        <f t="shared" si="20"/>
        <v>1</v>
      </c>
      <c r="J81" s="142">
        <f t="shared" si="21"/>
        <v>1750</v>
      </c>
      <c r="K81" s="142">
        <f t="shared" si="28"/>
        <v>1400</v>
      </c>
      <c r="L81" s="142">
        <f t="shared" si="22"/>
        <v>1750</v>
      </c>
      <c r="M81" s="142">
        <f t="shared" si="23"/>
        <v>1400</v>
      </c>
      <c r="N81" s="126">
        <v>2029</v>
      </c>
    </row>
    <row r="82" s="126" customFormat="1" spans="1:14">
      <c r="A82" s="140" t="s">
        <v>107</v>
      </c>
      <c r="B82" s="141">
        <f t="shared" si="27"/>
        <v>47453</v>
      </c>
      <c r="C82" s="141">
        <f t="shared" si="29"/>
        <v>47484</v>
      </c>
      <c r="D82" s="140" t="s">
        <v>73</v>
      </c>
      <c r="E82" s="140" t="s">
        <v>75</v>
      </c>
      <c r="F82" s="140" t="s">
        <v>74</v>
      </c>
      <c r="G82" s="140">
        <v>1.8</v>
      </c>
      <c r="H82" s="146">
        <f>H73*(250/300)*365/12</f>
        <v>7147.91666666667</v>
      </c>
      <c r="I82" s="145">
        <f t="shared" si="20"/>
        <v>1</v>
      </c>
      <c r="J82" s="142">
        <f t="shared" si="21"/>
        <v>12866.25</v>
      </c>
      <c r="K82" s="142">
        <f t="shared" si="28"/>
        <v>10293</v>
      </c>
      <c r="L82" s="142">
        <f t="shared" ref="L82:L127" si="30">J82*I82</f>
        <v>12866.25</v>
      </c>
      <c r="M82" s="142">
        <f t="shared" ref="M82:M127" si="31">K82*I82</f>
        <v>10293</v>
      </c>
      <c r="N82" s="126">
        <v>2029</v>
      </c>
    </row>
    <row r="83" s="126" customFormat="1" spans="1:14">
      <c r="A83" s="140" t="s">
        <v>108</v>
      </c>
      <c r="B83" s="141">
        <f t="shared" si="27"/>
        <v>47150</v>
      </c>
      <c r="C83" s="141">
        <f t="shared" si="29"/>
        <v>47178</v>
      </c>
      <c r="D83" s="140" t="s">
        <v>73</v>
      </c>
      <c r="E83" s="140" t="s">
        <v>79</v>
      </c>
      <c r="F83" s="140" t="s">
        <v>74</v>
      </c>
      <c r="G83" s="140">
        <v>0.2</v>
      </c>
      <c r="H83" s="147">
        <v>2500</v>
      </c>
      <c r="I83" s="145">
        <f t="shared" si="20"/>
        <v>1</v>
      </c>
      <c r="J83" s="142">
        <f t="shared" si="21"/>
        <v>500</v>
      </c>
      <c r="K83" s="142">
        <f t="shared" si="28"/>
        <v>400</v>
      </c>
      <c r="L83" s="142">
        <f t="shared" si="30"/>
        <v>500</v>
      </c>
      <c r="M83" s="142">
        <f t="shared" si="31"/>
        <v>400</v>
      </c>
      <c r="N83" s="126">
        <v>2029</v>
      </c>
    </row>
    <row r="84" s="126" customFormat="1" spans="1:14">
      <c r="A84" s="140" t="s">
        <v>109</v>
      </c>
      <c r="B84" s="141">
        <f t="shared" si="27"/>
        <v>47150</v>
      </c>
      <c r="C84" s="141">
        <f t="shared" si="29"/>
        <v>47178</v>
      </c>
      <c r="D84" s="140" t="s">
        <v>73</v>
      </c>
      <c r="E84" s="140" t="s">
        <v>75</v>
      </c>
      <c r="F84" s="140" t="s">
        <v>110</v>
      </c>
      <c r="G84" s="142">
        <v>1600</v>
      </c>
      <c r="H84" s="143">
        <v>1</v>
      </c>
      <c r="I84" s="145">
        <f t="shared" si="20"/>
        <v>1</v>
      </c>
      <c r="J84" s="142">
        <f t="shared" si="21"/>
        <v>1600</v>
      </c>
      <c r="K84" s="142">
        <f t="shared" si="28"/>
        <v>1280</v>
      </c>
      <c r="L84" s="142">
        <f t="shared" si="30"/>
        <v>1600</v>
      </c>
      <c r="M84" s="142">
        <f t="shared" si="31"/>
        <v>1280</v>
      </c>
      <c r="N84" s="126">
        <v>2029</v>
      </c>
    </row>
    <row r="85" s="126" customFormat="1" spans="1:14">
      <c r="A85" s="140" t="s">
        <v>111</v>
      </c>
      <c r="B85" s="141">
        <f t="shared" si="27"/>
        <v>47150</v>
      </c>
      <c r="C85" s="141">
        <f t="shared" si="29"/>
        <v>47178</v>
      </c>
      <c r="D85" s="140" t="s">
        <v>73</v>
      </c>
      <c r="E85" s="140" t="s">
        <v>75</v>
      </c>
      <c r="F85" s="140" t="s">
        <v>110</v>
      </c>
      <c r="G85" s="142">
        <v>1900</v>
      </c>
      <c r="H85" s="143">
        <v>1</v>
      </c>
      <c r="I85" s="145">
        <f t="shared" si="20"/>
        <v>1</v>
      </c>
      <c r="J85" s="142">
        <f t="shared" si="21"/>
        <v>1900</v>
      </c>
      <c r="K85" s="142">
        <f t="shared" si="28"/>
        <v>1520</v>
      </c>
      <c r="L85" s="142">
        <f t="shared" si="30"/>
        <v>1900</v>
      </c>
      <c r="M85" s="142">
        <f t="shared" si="31"/>
        <v>1520</v>
      </c>
      <c r="N85" s="126">
        <v>2029</v>
      </c>
    </row>
    <row r="86" spans="1:14">
      <c r="A86" s="133" t="s">
        <v>85</v>
      </c>
      <c r="B86" s="115">
        <f t="shared" ref="B86:B95" si="32">B65+365</f>
        <v>47484</v>
      </c>
      <c r="C86" s="134">
        <f t="shared" ref="C86:C91" si="33">EDATE(B86,12)</f>
        <v>47849</v>
      </c>
      <c r="D86" s="133" t="s">
        <v>86</v>
      </c>
      <c r="E86" s="133" t="s">
        <v>75</v>
      </c>
      <c r="F86" s="133" t="s">
        <v>87</v>
      </c>
      <c r="G86" s="135">
        <v>2.5</v>
      </c>
      <c r="H86" s="136">
        <f>4*12</f>
        <v>48</v>
      </c>
      <c r="I86" s="133">
        <f t="shared" si="20"/>
        <v>12</v>
      </c>
      <c r="J86" s="135">
        <f t="shared" si="21"/>
        <v>10</v>
      </c>
      <c r="K86" s="135">
        <f t="shared" ref="K86:K92" si="34">J86-(J86/5)</f>
        <v>8</v>
      </c>
      <c r="L86" s="133">
        <f t="shared" si="30"/>
        <v>120</v>
      </c>
      <c r="M86" s="133">
        <f t="shared" si="31"/>
        <v>96</v>
      </c>
      <c r="N86">
        <v>2030</v>
      </c>
    </row>
    <row r="87" spans="1:14">
      <c r="A87" s="133" t="s">
        <v>88</v>
      </c>
      <c r="B87" s="115">
        <f t="shared" si="32"/>
        <v>47484</v>
      </c>
      <c r="C87" s="134">
        <f t="shared" si="33"/>
        <v>47849</v>
      </c>
      <c r="D87" s="133" t="s">
        <v>86</v>
      </c>
      <c r="E87" s="133" t="s">
        <v>76</v>
      </c>
      <c r="F87" s="133" t="s">
        <v>87</v>
      </c>
      <c r="G87" s="135">
        <v>2.5</v>
      </c>
      <c r="H87" s="136">
        <f>8*12</f>
        <v>96</v>
      </c>
      <c r="I87" s="133">
        <f t="shared" si="20"/>
        <v>12</v>
      </c>
      <c r="J87" s="135">
        <f t="shared" si="21"/>
        <v>20</v>
      </c>
      <c r="K87" s="135">
        <f t="shared" si="34"/>
        <v>16</v>
      </c>
      <c r="L87" s="133">
        <f t="shared" si="30"/>
        <v>240</v>
      </c>
      <c r="M87" s="133">
        <f t="shared" si="31"/>
        <v>192</v>
      </c>
      <c r="N87">
        <v>2030</v>
      </c>
    </row>
    <row r="88" spans="1:14">
      <c r="A88" s="133" t="s">
        <v>89</v>
      </c>
      <c r="B88" s="115">
        <f t="shared" si="32"/>
        <v>47635</v>
      </c>
      <c r="C88" s="134">
        <f>EDATE(B88,2)</f>
        <v>47696</v>
      </c>
      <c r="D88" s="133" t="s">
        <v>86</v>
      </c>
      <c r="E88" s="133" t="s">
        <v>71</v>
      </c>
      <c r="F88" s="133" t="s">
        <v>87</v>
      </c>
      <c r="G88" s="135">
        <v>2.5</v>
      </c>
      <c r="H88" s="136">
        <v>400</v>
      </c>
      <c r="I88" s="133">
        <f t="shared" si="20"/>
        <v>2</v>
      </c>
      <c r="J88" s="135">
        <f t="shared" si="21"/>
        <v>500</v>
      </c>
      <c r="K88" s="135">
        <f t="shared" si="34"/>
        <v>400</v>
      </c>
      <c r="L88" s="133">
        <f t="shared" si="30"/>
        <v>1000</v>
      </c>
      <c r="M88" s="133">
        <f t="shared" si="31"/>
        <v>800</v>
      </c>
      <c r="N88">
        <v>2030</v>
      </c>
    </row>
    <row r="89" spans="1:14">
      <c r="A89" s="133" t="s">
        <v>90</v>
      </c>
      <c r="B89" s="115">
        <f t="shared" si="32"/>
        <v>47484</v>
      </c>
      <c r="C89" s="134">
        <f t="shared" si="33"/>
        <v>47849</v>
      </c>
      <c r="D89" s="133" t="s">
        <v>86</v>
      </c>
      <c r="E89" s="133" t="s">
        <v>91</v>
      </c>
      <c r="F89" s="133" t="s">
        <v>74</v>
      </c>
      <c r="G89" s="135">
        <v>1500</v>
      </c>
      <c r="H89" s="136">
        <v>1</v>
      </c>
      <c r="I89" s="133">
        <f t="shared" si="20"/>
        <v>12</v>
      </c>
      <c r="J89" s="135">
        <f t="shared" si="21"/>
        <v>125</v>
      </c>
      <c r="K89" s="135">
        <f t="shared" si="34"/>
        <v>100</v>
      </c>
      <c r="L89" s="133">
        <f t="shared" si="30"/>
        <v>1500</v>
      </c>
      <c r="M89" s="133">
        <f t="shared" si="31"/>
        <v>1200</v>
      </c>
      <c r="N89">
        <v>2030</v>
      </c>
    </row>
    <row r="90" spans="1:14">
      <c r="A90" s="133" t="s">
        <v>92</v>
      </c>
      <c r="B90" s="115">
        <f t="shared" si="32"/>
        <v>47484</v>
      </c>
      <c r="C90" s="134">
        <f t="shared" si="33"/>
        <v>47849</v>
      </c>
      <c r="D90" s="133" t="s">
        <v>86</v>
      </c>
      <c r="E90" s="133" t="s">
        <v>91</v>
      </c>
      <c r="F90" s="133" t="s">
        <v>74</v>
      </c>
      <c r="G90" s="135">
        <f>(35*6.7)+60</f>
        <v>294.5</v>
      </c>
      <c r="H90" s="136">
        <v>12</v>
      </c>
      <c r="I90" s="133">
        <f t="shared" si="20"/>
        <v>12</v>
      </c>
      <c r="J90" s="135">
        <f t="shared" si="21"/>
        <v>294.5</v>
      </c>
      <c r="K90" s="135">
        <f t="shared" si="34"/>
        <v>235.6</v>
      </c>
      <c r="L90" s="133">
        <f t="shared" si="30"/>
        <v>3534</v>
      </c>
      <c r="M90" s="133">
        <f t="shared" si="31"/>
        <v>2827.2</v>
      </c>
      <c r="N90">
        <v>2030</v>
      </c>
    </row>
    <row r="91" spans="1:14">
      <c r="A91" s="133" t="s">
        <v>93</v>
      </c>
      <c r="B91" s="115">
        <f t="shared" si="32"/>
        <v>47484</v>
      </c>
      <c r="C91" s="134">
        <f t="shared" si="33"/>
        <v>47849</v>
      </c>
      <c r="D91" s="133" t="s">
        <v>86</v>
      </c>
      <c r="E91" s="133" t="s">
        <v>91</v>
      </c>
      <c r="F91" s="133" t="s">
        <v>74</v>
      </c>
      <c r="G91" s="135">
        <v>4000</v>
      </c>
      <c r="H91" s="136">
        <v>1</v>
      </c>
      <c r="I91" s="133">
        <f t="shared" si="20"/>
        <v>12</v>
      </c>
      <c r="J91" s="135">
        <f t="shared" si="21"/>
        <v>333.333333333333</v>
      </c>
      <c r="K91" s="135">
        <f t="shared" si="34"/>
        <v>266.666666666667</v>
      </c>
      <c r="L91" s="133">
        <f t="shared" si="30"/>
        <v>4000</v>
      </c>
      <c r="M91" s="133">
        <f t="shared" si="31"/>
        <v>3200</v>
      </c>
      <c r="N91">
        <v>2030</v>
      </c>
    </row>
    <row r="92" spans="1:14">
      <c r="A92" s="133" t="s">
        <v>94</v>
      </c>
      <c r="B92" s="115">
        <f t="shared" si="32"/>
        <v>47818</v>
      </c>
      <c r="C92" s="134">
        <f>EDATE(B92,1)</f>
        <v>47849</v>
      </c>
      <c r="D92" s="133" t="s">
        <v>86</v>
      </c>
      <c r="E92" s="133" t="s">
        <v>76</v>
      </c>
      <c r="F92" s="133" t="s">
        <v>74</v>
      </c>
      <c r="G92" s="135">
        <v>1500</v>
      </c>
      <c r="H92" s="136">
        <v>1</v>
      </c>
      <c r="I92" s="133">
        <f t="shared" si="20"/>
        <v>1</v>
      </c>
      <c r="J92" s="135">
        <f t="shared" si="21"/>
        <v>1500</v>
      </c>
      <c r="K92" s="135">
        <f t="shared" si="34"/>
        <v>1200</v>
      </c>
      <c r="L92" s="133">
        <f t="shared" si="30"/>
        <v>1500</v>
      </c>
      <c r="M92" s="133">
        <f t="shared" si="31"/>
        <v>1200</v>
      </c>
      <c r="N92">
        <v>2030</v>
      </c>
    </row>
    <row r="93" spans="1:14">
      <c r="A93" s="133" t="s">
        <v>95</v>
      </c>
      <c r="B93" s="115">
        <f t="shared" si="32"/>
        <v>47635</v>
      </c>
      <c r="C93" s="134">
        <f>EDATE(B93,4)</f>
        <v>47757</v>
      </c>
      <c r="D93" s="133" t="s">
        <v>73</v>
      </c>
      <c r="E93" s="133" t="s">
        <v>71</v>
      </c>
      <c r="F93" s="133" t="s">
        <v>96</v>
      </c>
      <c r="G93" s="135">
        <f>53</f>
        <v>53</v>
      </c>
      <c r="H93" s="144">
        <v>200</v>
      </c>
      <c r="I93" s="138">
        <f t="shared" si="20"/>
        <v>4</v>
      </c>
      <c r="J93" s="135">
        <f t="shared" si="21"/>
        <v>2650</v>
      </c>
      <c r="K93" s="135">
        <f>(J93-J93/5)</f>
        <v>2120</v>
      </c>
      <c r="L93" s="135">
        <f t="shared" si="30"/>
        <v>10600</v>
      </c>
      <c r="M93" s="135">
        <f t="shared" si="31"/>
        <v>8480</v>
      </c>
      <c r="N93">
        <v>2030</v>
      </c>
    </row>
    <row r="94" spans="1:14">
      <c r="A94" s="133" t="s">
        <v>97</v>
      </c>
      <c r="B94" s="115">
        <f t="shared" si="32"/>
        <v>47484</v>
      </c>
      <c r="C94" s="134">
        <f>EDATE(B94,12)</f>
        <v>47849</v>
      </c>
      <c r="D94" s="133" t="s">
        <v>73</v>
      </c>
      <c r="E94" s="133" t="s">
        <v>75</v>
      </c>
      <c r="F94" s="133" t="s">
        <v>98</v>
      </c>
      <c r="G94" s="135">
        <f>2.4*12</f>
        <v>28.8</v>
      </c>
      <c r="H94" s="144">
        <v>300</v>
      </c>
      <c r="I94" s="138">
        <f t="shared" si="20"/>
        <v>12</v>
      </c>
      <c r="J94" s="135">
        <f t="shared" si="21"/>
        <v>720</v>
      </c>
      <c r="K94" s="135">
        <f>(J94-J94/5)</f>
        <v>576</v>
      </c>
      <c r="L94" s="135">
        <f t="shared" si="30"/>
        <v>8640</v>
      </c>
      <c r="M94" s="135">
        <f t="shared" si="31"/>
        <v>6912</v>
      </c>
      <c r="N94">
        <v>2030</v>
      </c>
    </row>
    <row r="95" spans="1:14">
      <c r="A95" s="133" t="s">
        <v>99</v>
      </c>
      <c r="B95" s="115">
        <f t="shared" si="32"/>
        <v>47635</v>
      </c>
      <c r="C95" s="134">
        <f>EDATE(B95,2)</f>
        <v>47696</v>
      </c>
      <c r="D95" s="133" t="s">
        <v>73</v>
      </c>
      <c r="E95" s="133" t="s">
        <v>71</v>
      </c>
      <c r="F95" s="133" t="s">
        <v>96</v>
      </c>
      <c r="G95" s="135">
        <v>2</v>
      </c>
      <c r="H95" s="137">
        <f>H93</f>
        <v>200</v>
      </c>
      <c r="I95" s="138">
        <f t="shared" si="20"/>
        <v>2</v>
      </c>
      <c r="J95" s="135">
        <f t="shared" si="21"/>
        <v>200</v>
      </c>
      <c r="K95" s="135">
        <f>(J95-J95/5)</f>
        <v>160</v>
      </c>
      <c r="L95" s="135">
        <f t="shared" si="30"/>
        <v>400</v>
      </c>
      <c r="M95" s="135">
        <f t="shared" si="31"/>
        <v>320</v>
      </c>
      <c r="N95">
        <v>2030</v>
      </c>
    </row>
    <row r="96" spans="1:14">
      <c r="A96" s="133" t="s">
        <v>100</v>
      </c>
      <c r="B96" s="115">
        <f t="shared" ref="B96:B127" si="35">B75+365</f>
        <v>47484</v>
      </c>
      <c r="C96" s="134">
        <f>EDATE(B96,12)</f>
        <v>47849</v>
      </c>
      <c r="D96" s="133" t="s">
        <v>73</v>
      </c>
      <c r="E96" s="133" t="s">
        <v>75</v>
      </c>
      <c r="F96" s="133" t="s">
        <v>98</v>
      </c>
      <c r="G96" s="135">
        <v>16</v>
      </c>
      <c r="H96" s="137">
        <f>H94</f>
        <v>300</v>
      </c>
      <c r="I96" s="138">
        <f t="shared" ref="I96:I127" si="36">DATEDIF(B96,C96,"m")</f>
        <v>12</v>
      </c>
      <c r="J96" s="135">
        <f t="shared" ref="J96:J127" si="37">H96*G96/I96</f>
        <v>400</v>
      </c>
      <c r="K96" s="135">
        <f t="shared" ref="K96:K109" si="38">(J96-J96/5)</f>
        <v>320</v>
      </c>
      <c r="L96" s="135">
        <f t="shared" si="30"/>
        <v>4800</v>
      </c>
      <c r="M96" s="135">
        <f t="shared" si="31"/>
        <v>3840</v>
      </c>
      <c r="N96">
        <v>2030</v>
      </c>
    </row>
    <row r="97" spans="1:14">
      <c r="A97" s="133" t="s">
        <v>101</v>
      </c>
      <c r="B97" s="115">
        <f t="shared" si="35"/>
        <v>47818</v>
      </c>
      <c r="C97" s="134">
        <f>EDATE(B97,1)</f>
        <v>47849</v>
      </c>
      <c r="D97" s="133" t="s">
        <v>73</v>
      </c>
      <c r="E97" s="133" t="s">
        <v>76</v>
      </c>
      <c r="F97" s="133" t="s">
        <v>74</v>
      </c>
      <c r="G97" s="133">
        <v>5500</v>
      </c>
      <c r="H97" s="147">
        <v>3</v>
      </c>
      <c r="I97" s="138">
        <f t="shared" si="36"/>
        <v>1</v>
      </c>
      <c r="J97" s="135">
        <f t="shared" si="37"/>
        <v>16500</v>
      </c>
      <c r="K97" s="135">
        <f t="shared" si="38"/>
        <v>13200</v>
      </c>
      <c r="L97" s="135">
        <f t="shared" si="30"/>
        <v>16500</v>
      </c>
      <c r="M97" s="135">
        <f t="shared" si="31"/>
        <v>13200</v>
      </c>
      <c r="N97">
        <v>2030</v>
      </c>
    </row>
    <row r="98" spans="1:14">
      <c r="A98" s="133" t="s">
        <v>102</v>
      </c>
      <c r="B98" s="115">
        <f t="shared" si="35"/>
        <v>47484</v>
      </c>
      <c r="C98" s="134">
        <f>EDATE(B98,4)</f>
        <v>47604</v>
      </c>
      <c r="D98" s="133" t="s">
        <v>73</v>
      </c>
      <c r="E98" s="133" t="s">
        <v>76</v>
      </c>
      <c r="F98" s="133" t="s">
        <v>74</v>
      </c>
      <c r="G98" s="133">
        <v>400</v>
      </c>
      <c r="H98" s="147">
        <v>14</v>
      </c>
      <c r="I98" s="138">
        <f t="shared" si="36"/>
        <v>4</v>
      </c>
      <c r="J98" s="135">
        <f t="shared" si="37"/>
        <v>1400</v>
      </c>
      <c r="K98" s="135">
        <f t="shared" si="38"/>
        <v>1120</v>
      </c>
      <c r="L98" s="135">
        <f t="shared" si="30"/>
        <v>5600</v>
      </c>
      <c r="M98" s="135">
        <f t="shared" si="31"/>
        <v>4480</v>
      </c>
      <c r="N98">
        <v>2030</v>
      </c>
    </row>
    <row r="99" spans="1:14">
      <c r="A99" s="133" t="s">
        <v>103</v>
      </c>
      <c r="B99" s="115">
        <f t="shared" si="35"/>
        <v>47757</v>
      </c>
      <c r="C99" s="134">
        <f>EDATE(B99,3)</f>
        <v>47849</v>
      </c>
      <c r="D99" s="133" t="s">
        <v>73</v>
      </c>
      <c r="E99" s="133" t="s">
        <v>76</v>
      </c>
      <c r="F99" s="133" t="s">
        <v>74</v>
      </c>
      <c r="G99" s="133">
        <v>400</v>
      </c>
      <c r="H99" s="133">
        <f>H98-H97</f>
        <v>11</v>
      </c>
      <c r="I99" s="138">
        <f t="shared" si="36"/>
        <v>3</v>
      </c>
      <c r="J99" s="135">
        <f t="shared" si="37"/>
        <v>1466.66666666667</v>
      </c>
      <c r="K99" s="135">
        <f t="shared" si="38"/>
        <v>1173.33333333333</v>
      </c>
      <c r="L99" s="135">
        <f t="shared" si="30"/>
        <v>4400</v>
      </c>
      <c r="M99" s="135">
        <f t="shared" si="31"/>
        <v>3520</v>
      </c>
      <c r="N99">
        <v>2030</v>
      </c>
    </row>
    <row r="100" spans="1:14">
      <c r="A100" s="133" t="s">
        <v>104</v>
      </c>
      <c r="B100" s="115">
        <f t="shared" si="35"/>
        <v>47604</v>
      </c>
      <c r="C100" s="134">
        <f>EDATE(B100,3)</f>
        <v>47696</v>
      </c>
      <c r="D100" s="133" t="s">
        <v>73</v>
      </c>
      <c r="E100" s="133" t="s">
        <v>77</v>
      </c>
      <c r="F100" s="133" t="s">
        <v>74</v>
      </c>
      <c r="G100" s="139">
        <v>0.12</v>
      </c>
      <c r="H100" s="144">
        <v>4000</v>
      </c>
      <c r="I100" s="138">
        <f t="shared" si="36"/>
        <v>3</v>
      </c>
      <c r="J100" s="135">
        <f t="shared" si="37"/>
        <v>160</v>
      </c>
      <c r="K100" s="135">
        <f t="shared" si="38"/>
        <v>128</v>
      </c>
      <c r="L100" s="135">
        <f t="shared" si="30"/>
        <v>480</v>
      </c>
      <c r="M100" s="135">
        <f t="shared" si="31"/>
        <v>384</v>
      </c>
      <c r="N100">
        <v>2030</v>
      </c>
    </row>
    <row r="101" spans="1:14">
      <c r="A101" s="133" t="s">
        <v>105</v>
      </c>
      <c r="B101" s="115">
        <f t="shared" si="35"/>
        <v>47818</v>
      </c>
      <c r="C101" s="134">
        <f t="shared" ref="C101:C106" si="39">EDATE(B101,1)</f>
        <v>47849</v>
      </c>
      <c r="D101" s="133" t="s">
        <v>73</v>
      </c>
      <c r="E101" s="133" t="s">
        <v>77</v>
      </c>
      <c r="F101" s="133" t="s">
        <v>74</v>
      </c>
      <c r="G101" s="133">
        <v>0.7</v>
      </c>
      <c r="H101" s="137">
        <f>0.6*H100*2</f>
        <v>4800</v>
      </c>
      <c r="I101" s="138">
        <f t="shared" si="36"/>
        <v>1</v>
      </c>
      <c r="J101" s="135">
        <f t="shared" si="37"/>
        <v>3360</v>
      </c>
      <c r="K101" s="135">
        <f t="shared" si="38"/>
        <v>2688</v>
      </c>
      <c r="L101" s="135">
        <f t="shared" si="30"/>
        <v>3360</v>
      </c>
      <c r="M101" s="135">
        <f t="shared" si="31"/>
        <v>2688</v>
      </c>
      <c r="N101">
        <v>2030</v>
      </c>
    </row>
    <row r="102" spans="1:14">
      <c r="A102" s="133" t="s">
        <v>106</v>
      </c>
      <c r="B102" s="115">
        <f t="shared" si="35"/>
        <v>47818</v>
      </c>
      <c r="C102" s="134">
        <f t="shared" si="39"/>
        <v>47849</v>
      </c>
      <c r="D102" s="133" t="s">
        <v>73</v>
      </c>
      <c r="E102" s="133" t="s">
        <v>79</v>
      </c>
      <c r="F102" s="133" t="s">
        <v>74</v>
      </c>
      <c r="G102" s="133">
        <v>0.7</v>
      </c>
      <c r="H102" s="137">
        <f>H104</f>
        <v>2500</v>
      </c>
      <c r="I102" s="138">
        <f t="shared" si="36"/>
        <v>1</v>
      </c>
      <c r="J102" s="135">
        <f t="shared" si="37"/>
        <v>1750</v>
      </c>
      <c r="K102" s="135">
        <f t="shared" si="38"/>
        <v>1400</v>
      </c>
      <c r="L102" s="135">
        <f t="shared" si="30"/>
        <v>1750</v>
      </c>
      <c r="M102" s="135">
        <f t="shared" si="31"/>
        <v>1400</v>
      </c>
      <c r="N102">
        <v>2030</v>
      </c>
    </row>
    <row r="103" spans="1:14">
      <c r="A103" s="133" t="s">
        <v>107</v>
      </c>
      <c r="B103" s="115">
        <f t="shared" si="35"/>
        <v>47818</v>
      </c>
      <c r="C103" s="134">
        <f t="shared" si="39"/>
        <v>47849</v>
      </c>
      <c r="D103" s="133" t="s">
        <v>73</v>
      </c>
      <c r="E103" s="133" t="s">
        <v>75</v>
      </c>
      <c r="F103" s="133" t="s">
        <v>74</v>
      </c>
      <c r="G103" s="133">
        <v>1.8</v>
      </c>
      <c r="H103" s="137">
        <f>H94*(250/300)*365/12</f>
        <v>7604.16666666667</v>
      </c>
      <c r="I103" s="138">
        <f t="shared" si="36"/>
        <v>1</v>
      </c>
      <c r="J103" s="135">
        <f t="shared" si="37"/>
        <v>13687.5</v>
      </c>
      <c r="K103" s="135">
        <f t="shared" si="38"/>
        <v>10950</v>
      </c>
      <c r="L103" s="135">
        <f t="shared" si="30"/>
        <v>13687.5</v>
      </c>
      <c r="M103" s="135">
        <f t="shared" si="31"/>
        <v>10950</v>
      </c>
      <c r="N103">
        <v>2030</v>
      </c>
    </row>
    <row r="104" spans="1:14">
      <c r="A104" s="133" t="s">
        <v>108</v>
      </c>
      <c r="B104" s="115">
        <f t="shared" si="35"/>
        <v>47515</v>
      </c>
      <c r="C104" s="134">
        <f t="shared" si="39"/>
        <v>47543</v>
      </c>
      <c r="D104" s="133" t="s">
        <v>73</v>
      </c>
      <c r="E104" s="133" t="s">
        <v>79</v>
      </c>
      <c r="F104" s="133" t="s">
        <v>74</v>
      </c>
      <c r="G104" s="133">
        <v>0.2</v>
      </c>
      <c r="H104" s="147">
        <v>2500</v>
      </c>
      <c r="I104" s="138">
        <f t="shared" si="36"/>
        <v>1</v>
      </c>
      <c r="J104" s="135">
        <f t="shared" si="37"/>
        <v>500</v>
      </c>
      <c r="K104" s="135">
        <f t="shared" si="38"/>
        <v>400</v>
      </c>
      <c r="L104" s="135">
        <f t="shared" si="30"/>
        <v>500</v>
      </c>
      <c r="M104" s="135">
        <f t="shared" si="31"/>
        <v>400</v>
      </c>
      <c r="N104">
        <v>2030</v>
      </c>
    </row>
    <row r="105" spans="1:14">
      <c r="A105" s="133" t="s">
        <v>109</v>
      </c>
      <c r="B105" s="115">
        <f t="shared" si="35"/>
        <v>47515</v>
      </c>
      <c r="C105" s="134">
        <f t="shared" si="39"/>
        <v>47543</v>
      </c>
      <c r="D105" s="133" t="s">
        <v>73</v>
      </c>
      <c r="E105" s="133" t="s">
        <v>75</v>
      </c>
      <c r="F105" s="133" t="s">
        <v>110</v>
      </c>
      <c r="G105" s="135">
        <v>1600</v>
      </c>
      <c r="H105" s="136">
        <v>1</v>
      </c>
      <c r="I105" s="138">
        <f t="shared" si="36"/>
        <v>1</v>
      </c>
      <c r="J105" s="135">
        <f t="shared" si="37"/>
        <v>1600</v>
      </c>
      <c r="K105" s="135">
        <f t="shared" si="38"/>
        <v>1280</v>
      </c>
      <c r="L105" s="135">
        <f t="shared" si="30"/>
        <v>1600</v>
      </c>
      <c r="M105" s="135">
        <f t="shared" si="31"/>
        <v>1280</v>
      </c>
      <c r="N105">
        <v>2030</v>
      </c>
    </row>
    <row r="106" spans="1:14">
      <c r="A106" s="133" t="s">
        <v>111</v>
      </c>
      <c r="B106" s="115">
        <f t="shared" si="35"/>
        <v>47515</v>
      </c>
      <c r="C106" s="134">
        <f t="shared" si="39"/>
        <v>47543</v>
      </c>
      <c r="D106" s="133" t="s">
        <v>73</v>
      </c>
      <c r="E106" s="133" t="s">
        <v>75</v>
      </c>
      <c r="F106" s="133" t="s">
        <v>110</v>
      </c>
      <c r="G106" s="135">
        <v>1900</v>
      </c>
      <c r="H106" s="136">
        <v>1</v>
      </c>
      <c r="I106" s="138">
        <f t="shared" si="36"/>
        <v>1</v>
      </c>
      <c r="J106" s="135">
        <f t="shared" si="37"/>
        <v>1900</v>
      </c>
      <c r="K106" s="135">
        <f t="shared" si="38"/>
        <v>1520</v>
      </c>
      <c r="L106" s="135">
        <f t="shared" si="30"/>
        <v>1900</v>
      </c>
      <c r="M106" s="135">
        <f t="shared" si="31"/>
        <v>1520</v>
      </c>
      <c r="N106">
        <v>2030</v>
      </c>
    </row>
    <row r="107" spans="1:14">
      <c r="A107" s="140" t="s">
        <v>85</v>
      </c>
      <c r="B107" s="141">
        <f t="shared" si="35"/>
        <v>47849</v>
      </c>
      <c r="C107" s="141">
        <f t="shared" ref="C107:C112" si="40">EDATE(B107,12)</f>
        <v>48214</v>
      </c>
      <c r="D107" s="140" t="s">
        <v>86</v>
      </c>
      <c r="E107" s="140" t="s">
        <v>75</v>
      </c>
      <c r="F107" s="140" t="s">
        <v>87</v>
      </c>
      <c r="G107" s="142">
        <v>2.5</v>
      </c>
      <c r="H107" s="143">
        <f>4*12</f>
        <v>48</v>
      </c>
      <c r="I107" s="140">
        <f t="shared" si="36"/>
        <v>12</v>
      </c>
      <c r="J107" s="142">
        <f t="shared" si="37"/>
        <v>10</v>
      </c>
      <c r="K107" s="142">
        <f t="shared" ref="K107:K113" si="41">J107-(J107/5)</f>
        <v>8</v>
      </c>
      <c r="L107" s="140">
        <f t="shared" si="30"/>
        <v>120</v>
      </c>
      <c r="M107" s="140">
        <f t="shared" si="31"/>
        <v>96</v>
      </c>
      <c r="N107" s="126">
        <v>2031</v>
      </c>
    </row>
    <row r="108" spans="1:14">
      <c r="A108" s="140" t="s">
        <v>88</v>
      </c>
      <c r="B108" s="141">
        <f t="shared" si="35"/>
        <v>47849</v>
      </c>
      <c r="C108" s="141">
        <f t="shared" si="40"/>
        <v>48214</v>
      </c>
      <c r="D108" s="140" t="s">
        <v>86</v>
      </c>
      <c r="E108" s="140" t="s">
        <v>76</v>
      </c>
      <c r="F108" s="140" t="s">
        <v>87</v>
      </c>
      <c r="G108" s="142">
        <v>2.5</v>
      </c>
      <c r="H108" s="143">
        <f>8*12</f>
        <v>96</v>
      </c>
      <c r="I108" s="140">
        <f t="shared" si="36"/>
        <v>12</v>
      </c>
      <c r="J108" s="142">
        <f t="shared" si="37"/>
        <v>20</v>
      </c>
      <c r="K108" s="142">
        <f t="shared" si="41"/>
        <v>16</v>
      </c>
      <c r="L108" s="140">
        <f t="shared" si="30"/>
        <v>240</v>
      </c>
      <c r="M108" s="140">
        <f t="shared" si="31"/>
        <v>192</v>
      </c>
      <c r="N108" s="126">
        <v>2031</v>
      </c>
    </row>
    <row r="109" spans="1:14">
      <c r="A109" s="140" t="s">
        <v>89</v>
      </c>
      <c r="B109" s="141">
        <f t="shared" si="35"/>
        <v>48000</v>
      </c>
      <c r="C109" s="141">
        <f>EDATE(B109,2)</f>
        <v>48061</v>
      </c>
      <c r="D109" s="140" t="s">
        <v>86</v>
      </c>
      <c r="E109" s="140" t="s">
        <v>71</v>
      </c>
      <c r="F109" s="140" t="s">
        <v>87</v>
      </c>
      <c r="G109" s="142">
        <v>2.5</v>
      </c>
      <c r="H109" s="143">
        <v>400</v>
      </c>
      <c r="I109" s="140">
        <f t="shared" si="36"/>
        <v>2</v>
      </c>
      <c r="J109" s="142">
        <f t="shared" si="37"/>
        <v>500</v>
      </c>
      <c r="K109" s="142">
        <f t="shared" si="41"/>
        <v>400</v>
      </c>
      <c r="L109" s="140">
        <f t="shared" si="30"/>
        <v>1000</v>
      </c>
      <c r="M109" s="140">
        <f t="shared" si="31"/>
        <v>800</v>
      </c>
      <c r="N109" s="126">
        <v>2031</v>
      </c>
    </row>
    <row r="110" spans="1:14">
      <c r="A110" s="140" t="s">
        <v>90</v>
      </c>
      <c r="B110" s="141">
        <f t="shared" si="35"/>
        <v>47849</v>
      </c>
      <c r="C110" s="141">
        <f t="shared" si="40"/>
        <v>48214</v>
      </c>
      <c r="D110" s="140" t="s">
        <v>86</v>
      </c>
      <c r="E110" s="140" t="s">
        <v>91</v>
      </c>
      <c r="F110" s="140" t="s">
        <v>74</v>
      </c>
      <c r="G110" s="142">
        <v>1500</v>
      </c>
      <c r="H110" s="143">
        <v>1</v>
      </c>
      <c r="I110" s="140">
        <f t="shared" si="36"/>
        <v>12</v>
      </c>
      <c r="J110" s="142">
        <f t="shared" si="37"/>
        <v>125</v>
      </c>
      <c r="K110" s="142">
        <f t="shared" si="41"/>
        <v>100</v>
      </c>
      <c r="L110" s="140">
        <f t="shared" si="30"/>
        <v>1500</v>
      </c>
      <c r="M110" s="140">
        <f t="shared" si="31"/>
        <v>1200</v>
      </c>
      <c r="N110" s="126">
        <v>2031</v>
      </c>
    </row>
    <row r="111" spans="1:14">
      <c r="A111" s="140" t="s">
        <v>92</v>
      </c>
      <c r="B111" s="141">
        <f t="shared" si="35"/>
        <v>47849</v>
      </c>
      <c r="C111" s="141">
        <f t="shared" si="40"/>
        <v>48214</v>
      </c>
      <c r="D111" s="140" t="s">
        <v>86</v>
      </c>
      <c r="E111" s="140" t="s">
        <v>91</v>
      </c>
      <c r="F111" s="140" t="s">
        <v>74</v>
      </c>
      <c r="G111" s="142">
        <f>(35*6.7)+60</f>
        <v>294.5</v>
      </c>
      <c r="H111" s="143">
        <v>12</v>
      </c>
      <c r="I111" s="140">
        <f t="shared" si="36"/>
        <v>12</v>
      </c>
      <c r="J111" s="142">
        <f t="shared" si="37"/>
        <v>294.5</v>
      </c>
      <c r="K111" s="142">
        <f t="shared" si="41"/>
        <v>235.6</v>
      </c>
      <c r="L111" s="140">
        <f t="shared" si="30"/>
        <v>3534</v>
      </c>
      <c r="M111" s="140">
        <f t="shared" si="31"/>
        <v>2827.2</v>
      </c>
      <c r="N111" s="126">
        <v>2031</v>
      </c>
    </row>
    <row r="112" spans="1:14">
      <c r="A112" s="140" t="s">
        <v>93</v>
      </c>
      <c r="B112" s="141">
        <f t="shared" si="35"/>
        <v>47849</v>
      </c>
      <c r="C112" s="141">
        <f t="shared" si="40"/>
        <v>48214</v>
      </c>
      <c r="D112" s="140" t="s">
        <v>86</v>
      </c>
      <c r="E112" s="140" t="s">
        <v>91</v>
      </c>
      <c r="F112" s="140" t="s">
        <v>74</v>
      </c>
      <c r="G112" s="142">
        <v>4000</v>
      </c>
      <c r="H112" s="143">
        <v>1</v>
      </c>
      <c r="I112" s="140">
        <f t="shared" si="36"/>
        <v>12</v>
      </c>
      <c r="J112" s="142">
        <f t="shared" si="37"/>
        <v>333.333333333333</v>
      </c>
      <c r="K112" s="142">
        <f t="shared" si="41"/>
        <v>266.666666666667</v>
      </c>
      <c r="L112" s="140">
        <f t="shared" si="30"/>
        <v>4000</v>
      </c>
      <c r="M112" s="140">
        <f t="shared" si="31"/>
        <v>3200</v>
      </c>
      <c r="N112" s="126">
        <v>2031</v>
      </c>
    </row>
    <row r="113" spans="1:14">
      <c r="A113" s="140" t="s">
        <v>94</v>
      </c>
      <c r="B113" s="141">
        <f t="shared" si="35"/>
        <v>48183</v>
      </c>
      <c r="C113" s="141">
        <f>EDATE(B113,1)</f>
        <v>48214</v>
      </c>
      <c r="D113" s="140" t="s">
        <v>86</v>
      </c>
      <c r="E113" s="140" t="s">
        <v>76</v>
      </c>
      <c r="F113" s="140" t="s">
        <v>74</v>
      </c>
      <c r="G113" s="142">
        <v>1500</v>
      </c>
      <c r="H113" s="143">
        <v>1</v>
      </c>
      <c r="I113" s="140">
        <f t="shared" si="36"/>
        <v>1</v>
      </c>
      <c r="J113" s="142">
        <f t="shared" si="37"/>
        <v>1500</v>
      </c>
      <c r="K113" s="142">
        <f t="shared" si="41"/>
        <v>1200</v>
      </c>
      <c r="L113" s="140">
        <f t="shared" si="30"/>
        <v>1500</v>
      </c>
      <c r="M113" s="140">
        <f t="shared" si="31"/>
        <v>1200</v>
      </c>
      <c r="N113" s="126">
        <v>2031</v>
      </c>
    </row>
    <row r="114" spans="1:14">
      <c r="A114" s="140" t="s">
        <v>95</v>
      </c>
      <c r="B114" s="141">
        <f t="shared" si="35"/>
        <v>48000</v>
      </c>
      <c r="C114" s="141">
        <f>EDATE(B114,4)</f>
        <v>48122</v>
      </c>
      <c r="D114" s="140" t="s">
        <v>73</v>
      </c>
      <c r="E114" s="140" t="s">
        <v>71</v>
      </c>
      <c r="F114" s="140" t="s">
        <v>96</v>
      </c>
      <c r="G114" s="142">
        <f>53</f>
        <v>53</v>
      </c>
      <c r="H114" s="144">
        <v>200</v>
      </c>
      <c r="I114" s="145">
        <f t="shared" si="36"/>
        <v>4</v>
      </c>
      <c r="J114" s="142">
        <f t="shared" si="37"/>
        <v>2650</v>
      </c>
      <c r="K114" s="142">
        <f t="shared" ref="K114:K127" si="42">(J114-J114/5)</f>
        <v>2120</v>
      </c>
      <c r="L114" s="142">
        <f t="shared" si="30"/>
        <v>10600</v>
      </c>
      <c r="M114" s="142">
        <f t="shared" si="31"/>
        <v>8480</v>
      </c>
      <c r="N114" s="126">
        <v>2031</v>
      </c>
    </row>
    <row r="115" spans="1:14">
      <c r="A115" s="140" t="s">
        <v>97</v>
      </c>
      <c r="B115" s="141">
        <f t="shared" si="35"/>
        <v>47849</v>
      </c>
      <c r="C115" s="141">
        <f>EDATE(B115,12)</f>
        <v>48214</v>
      </c>
      <c r="D115" s="140" t="s">
        <v>73</v>
      </c>
      <c r="E115" s="140" t="s">
        <v>75</v>
      </c>
      <c r="F115" s="140" t="s">
        <v>98</v>
      </c>
      <c r="G115" s="142">
        <f>2.4*12</f>
        <v>28.8</v>
      </c>
      <c r="H115" s="144">
        <v>300</v>
      </c>
      <c r="I115" s="145">
        <f t="shared" si="36"/>
        <v>12</v>
      </c>
      <c r="J115" s="142">
        <f t="shared" si="37"/>
        <v>720</v>
      </c>
      <c r="K115" s="142">
        <f t="shared" si="42"/>
        <v>576</v>
      </c>
      <c r="L115" s="142">
        <f t="shared" si="30"/>
        <v>8640</v>
      </c>
      <c r="M115" s="142">
        <f t="shared" si="31"/>
        <v>6912</v>
      </c>
      <c r="N115" s="126">
        <v>2031</v>
      </c>
    </row>
    <row r="116" spans="1:14">
      <c r="A116" s="140" t="s">
        <v>99</v>
      </c>
      <c r="B116" s="141">
        <f t="shared" si="35"/>
        <v>48000</v>
      </c>
      <c r="C116" s="141">
        <f>EDATE(B116,2)</f>
        <v>48061</v>
      </c>
      <c r="D116" s="140" t="s">
        <v>73</v>
      </c>
      <c r="E116" s="140" t="s">
        <v>71</v>
      </c>
      <c r="F116" s="140" t="s">
        <v>96</v>
      </c>
      <c r="G116" s="142">
        <v>2</v>
      </c>
      <c r="H116" s="146">
        <f>H114</f>
        <v>200</v>
      </c>
      <c r="I116" s="145">
        <f t="shared" si="36"/>
        <v>2</v>
      </c>
      <c r="J116" s="142">
        <f t="shared" si="37"/>
        <v>200</v>
      </c>
      <c r="K116" s="142">
        <f t="shared" si="42"/>
        <v>160</v>
      </c>
      <c r="L116" s="142">
        <f t="shared" si="30"/>
        <v>400</v>
      </c>
      <c r="M116" s="142">
        <f t="shared" si="31"/>
        <v>320</v>
      </c>
      <c r="N116" s="126">
        <v>2031</v>
      </c>
    </row>
    <row r="117" spans="1:14">
      <c r="A117" s="140" t="s">
        <v>100</v>
      </c>
      <c r="B117" s="141">
        <f t="shared" si="35"/>
        <v>47849</v>
      </c>
      <c r="C117" s="141">
        <f>EDATE(B117,12)</f>
        <v>48214</v>
      </c>
      <c r="D117" s="140" t="s">
        <v>73</v>
      </c>
      <c r="E117" s="140" t="s">
        <v>75</v>
      </c>
      <c r="F117" s="140" t="s">
        <v>98</v>
      </c>
      <c r="G117" s="142">
        <v>16</v>
      </c>
      <c r="H117" s="146">
        <f>H115</f>
        <v>300</v>
      </c>
      <c r="I117" s="145">
        <f t="shared" si="36"/>
        <v>12</v>
      </c>
      <c r="J117" s="142">
        <f t="shared" si="37"/>
        <v>400</v>
      </c>
      <c r="K117" s="142">
        <f t="shared" si="42"/>
        <v>320</v>
      </c>
      <c r="L117" s="142">
        <f t="shared" si="30"/>
        <v>4800</v>
      </c>
      <c r="M117" s="142">
        <f t="shared" si="31"/>
        <v>3840</v>
      </c>
      <c r="N117" s="126">
        <v>2031</v>
      </c>
    </row>
    <row r="118" spans="1:14">
      <c r="A118" s="140" t="s">
        <v>101</v>
      </c>
      <c r="B118" s="141">
        <f t="shared" si="35"/>
        <v>48183</v>
      </c>
      <c r="C118" s="141">
        <f t="shared" ref="C118:C127" si="43">EDATE(B118,1)</f>
        <v>48214</v>
      </c>
      <c r="D118" s="140" t="s">
        <v>73</v>
      </c>
      <c r="E118" s="140" t="s">
        <v>76</v>
      </c>
      <c r="F118" s="140" t="s">
        <v>74</v>
      </c>
      <c r="G118" s="140">
        <v>5500</v>
      </c>
      <c r="H118" s="147">
        <v>4</v>
      </c>
      <c r="I118" s="145">
        <f t="shared" si="36"/>
        <v>1</v>
      </c>
      <c r="J118" s="142">
        <f t="shared" si="37"/>
        <v>22000</v>
      </c>
      <c r="K118" s="142">
        <f t="shared" si="42"/>
        <v>17600</v>
      </c>
      <c r="L118" s="142">
        <f t="shared" si="30"/>
        <v>22000</v>
      </c>
      <c r="M118" s="142">
        <f t="shared" si="31"/>
        <v>17600</v>
      </c>
      <c r="N118" s="126">
        <v>2031</v>
      </c>
    </row>
    <row r="119" spans="1:14">
      <c r="A119" s="140" t="s">
        <v>102</v>
      </c>
      <c r="B119" s="141">
        <f t="shared" si="35"/>
        <v>47849</v>
      </c>
      <c r="C119" s="141">
        <f>EDATE(B119,4)</f>
        <v>47969</v>
      </c>
      <c r="D119" s="140" t="s">
        <v>73</v>
      </c>
      <c r="E119" s="140" t="s">
        <v>76</v>
      </c>
      <c r="F119" s="140" t="s">
        <v>74</v>
      </c>
      <c r="G119" s="140">
        <v>400</v>
      </c>
      <c r="H119" s="147">
        <v>15</v>
      </c>
      <c r="I119" s="145">
        <f t="shared" si="36"/>
        <v>4</v>
      </c>
      <c r="J119" s="142">
        <f t="shared" si="37"/>
        <v>1500</v>
      </c>
      <c r="K119" s="142">
        <f t="shared" si="42"/>
        <v>1200</v>
      </c>
      <c r="L119" s="142">
        <f t="shared" si="30"/>
        <v>6000</v>
      </c>
      <c r="M119" s="142">
        <f t="shared" si="31"/>
        <v>4800</v>
      </c>
      <c r="N119" s="126">
        <v>2031</v>
      </c>
    </row>
    <row r="120" spans="1:14">
      <c r="A120" s="140" t="s">
        <v>103</v>
      </c>
      <c r="B120" s="141">
        <f t="shared" si="35"/>
        <v>48122</v>
      </c>
      <c r="C120" s="141">
        <f>EDATE(B120,3)</f>
        <v>48214</v>
      </c>
      <c r="D120" s="140" t="s">
        <v>73</v>
      </c>
      <c r="E120" s="140" t="s">
        <v>76</v>
      </c>
      <c r="F120" s="140" t="s">
        <v>74</v>
      </c>
      <c r="G120" s="140">
        <v>400</v>
      </c>
      <c r="H120" s="140">
        <f>H119-H118</f>
        <v>11</v>
      </c>
      <c r="I120" s="145">
        <f t="shared" si="36"/>
        <v>3</v>
      </c>
      <c r="J120" s="142">
        <f t="shared" si="37"/>
        <v>1466.66666666667</v>
      </c>
      <c r="K120" s="142">
        <f t="shared" si="42"/>
        <v>1173.33333333333</v>
      </c>
      <c r="L120" s="142">
        <f t="shared" si="30"/>
        <v>4400</v>
      </c>
      <c r="M120" s="142">
        <f t="shared" si="31"/>
        <v>3520</v>
      </c>
      <c r="N120" s="126">
        <v>2031</v>
      </c>
    </row>
    <row r="121" spans="1:14">
      <c r="A121" s="140" t="s">
        <v>104</v>
      </c>
      <c r="B121" s="141">
        <f t="shared" si="35"/>
        <v>47969</v>
      </c>
      <c r="C121" s="141">
        <f>EDATE(B121,3)</f>
        <v>48061</v>
      </c>
      <c r="D121" s="140" t="s">
        <v>73</v>
      </c>
      <c r="E121" s="140" t="s">
        <v>77</v>
      </c>
      <c r="F121" s="140" t="s">
        <v>74</v>
      </c>
      <c r="G121" s="148">
        <v>0.12</v>
      </c>
      <c r="H121" s="144">
        <v>4000</v>
      </c>
      <c r="I121" s="145">
        <f t="shared" si="36"/>
        <v>3</v>
      </c>
      <c r="J121" s="142">
        <f t="shared" si="37"/>
        <v>160</v>
      </c>
      <c r="K121" s="142">
        <f t="shared" si="42"/>
        <v>128</v>
      </c>
      <c r="L121" s="142">
        <f t="shared" si="30"/>
        <v>480</v>
      </c>
      <c r="M121" s="142">
        <f t="shared" si="31"/>
        <v>384</v>
      </c>
      <c r="N121" s="126">
        <v>2031</v>
      </c>
    </row>
    <row r="122" spans="1:14">
      <c r="A122" s="140" t="s">
        <v>105</v>
      </c>
      <c r="B122" s="141">
        <f t="shared" si="35"/>
        <v>48183</v>
      </c>
      <c r="C122" s="141">
        <f t="shared" si="43"/>
        <v>48214</v>
      </c>
      <c r="D122" s="140" t="s">
        <v>73</v>
      </c>
      <c r="E122" s="140" t="s">
        <v>77</v>
      </c>
      <c r="F122" s="140" t="s">
        <v>74</v>
      </c>
      <c r="G122" s="140">
        <v>0.7</v>
      </c>
      <c r="H122" s="146">
        <f>0.6*H121*2</f>
        <v>4800</v>
      </c>
      <c r="I122" s="145">
        <f t="shared" si="36"/>
        <v>1</v>
      </c>
      <c r="J122" s="142">
        <f t="shared" si="37"/>
        <v>3360</v>
      </c>
      <c r="K122" s="142">
        <f t="shared" si="42"/>
        <v>2688</v>
      </c>
      <c r="L122" s="142">
        <f t="shared" si="30"/>
        <v>3360</v>
      </c>
      <c r="M122" s="142">
        <f t="shared" si="31"/>
        <v>2688</v>
      </c>
      <c r="N122" s="126">
        <v>2031</v>
      </c>
    </row>
    <row r="123" spans="1:14">
      <c r="A123" s="140" t="s">
        <v>106</v>
      </c>
      <c r="B123" s="141">
        <f t="shared" si="35"/>
        <v>48183</v>
      </c>
      <c r="C123" s="141">
        <f t="shared" si="43"/>
        <v>48214</v>
      </c>
      <c r="D123" s="140" t="s">
        <v>73</v>
      </c>
      <c r="E123" s="140" t="s">
        <v>79</v>
      </c>
      <c r="F123" s="140" t="s">
        <v>74</v>
      </c>
      <c r="G123" s="140">
        <v>0.7</v>
      </c>
      <c r="H123" s="146">
        <f>H125</f>
        <v>2500</v>
      </c>
      <c r="I123" s="145">
        <f t="shared" si="36"/>
        <v>1</v>
      </c>
      <c r="J123" s="142">
        <f t="shared" si="37"/>
        <v>1750</v>
      </c>
      <c r="K123" s="142">
        <f t="shared" si="42"/>
        <v>1400</v>
      </c>
      <c r="L123" s="142">
        <f t="shared" si="30"/>
        <v>1750</v>
      </c>
      <c r="M123" s="142">
        <f t="shared" si="31"/>
        <v>1400</v>
      </c>
      <c r="N123" s="126">
        <v>2031</v>
      </c>
    </row>
    <row r="124" spans="1:14">
      <c r="A124" s="140" t="s">
        <v>107</v>
      </c>
      <c r="B124" s="141">
        <f t="shared" si="35"/>
        <v>48183</v>
      </c>
      <c r="C124" s="141">
        <f t="shared" si="43"/>
        <v>48214</v>
      </c>
      <c r="D124" s="140" t="s">
        <v>73</v>
      </c>
      <c r="E124" s="140" t="s">
        <v>75</v>
      </c>
      <c r="F124" s="140" t="s">
        <v>74</v>
      </c>
      <c r="G124" s="140">
        <v>1.8</v>
      </c>
      <c r="H124" s="146">
        <f>H115*(250/300)*365/12</f>
        <v>7604.16666666667</v>
      </c>
      <c r="I124" s="145">
        <f t="shared" si="36"/>
        <v>1</v>
      </c>
      <c r="J124" s="142">
        <f t="shared" si="37"/>
        <v>13687.5</v>
      </c>
      <c r="K124" s="142">
        <f t="shared" si="42"/>
        <v>10950</v>
      </c>
      <c r="L124" s="142">
        <f t="shared" si="30"/>
        <v>13687.5</v>
      </c>
      <c r="M124" s="142">
        <f t="shared" si="31"/>
        <v>10950</v>
      </c>
      <c r="N124" s="126">
        <v>2031</v>
      </c>
    </row>
    <row r="125" spans="1:14">
      <c r="A125" s="140" t="s">
        <v>108</v>
      </c>
      <c r="B125" s="141">
        <f t="shared" si="35"/>
        <v>47880</v>
      </c>
      <c r="C125" s="141">
        <f t="shared" si="43"/>
        <v>47908</v>
      </c>
      <c r="D125" s="140" t="s">
        <v>73</v>
      </c>
      <c r="E125" s="140" t="s">
        <v>79</v>
      </c>
      <c r="F125" s="140" t="s">
        <v>74</v>
      </c>
      <c r="G125" s="140">
        <v>0.2</v>
      </c>
      <c r="H125" s="147">
        <v>2500</v>
      </c>
      <c r="I125" s="145">
        <f t="shared" si="36"/>
        <v>1</v>
      </c>
      <c r="J125" s="142">
        <f t="shared" si="37"/>
        <v>500</v>
      </c>
      <c r="K125" s="142">
        <f t="shared" si="42"/>
        <v>400</v>
      </c>
      <c r="L125" s="142">
        <f t="shared" si="30"/>
        <v>500</v>
      </c>
      <c r="M125" s="142">
        <f t="shared" si="31"/>
        <v>400</v>
      </c>
      <c r="N125" s="126">
        <v>2031</v>
      </c>
    </row>
    <row r="126" spans="1:14">
      <c r="A126" s="140" t="s">
        <v>109</v>
      </c>
      <c r="B126" s="141">
        <f t="shared" si="35"/>
        <v>47880</v>
      </c>
      <c r="C126" s="141">
        <f t="shared" si="43"/>
        <v>47908</v>
      </c>
      <c r="D126" s="140" t="s">
        <v>73</v>
      </c>
      <c r="E126" s="140" t="s">
        <v>75</v>
      </c>
      <c r="F126" s="140" t="s">
        <v>110</v>
      </c>
      <c r="G126" s="142">
        <v>1600</v>
      </c>
      <c r="H126" s="143">
        <v>1</v>
      </c>
      <c r="I126" s="145">
        <f t="shared" si="36"/>
        <v>1</v>
      </c>
      <c r="J126" s="142">
        <f t="shared" si="37"/>
        <v>1600</v>
      </c>
      <c r="K126" s="142">
        <f t="shared" si="42"/>
        <v>1280</v>
      </c>
      <c r="L126" s="142">
        <f t="shared" si="30"/>
        <v>1600</v>
      </c>
      <c r="M126" s="142">
        <f t="shared" si="31"/>
        <v>1280</v>
      </c>
      <c r="N126" s="126">
        <v>2031</v>
      </c>
    </row>
    <row r="127" spans="1:14">
      <c r="A127" s="140" t="s">
        <v>111</v>
      </c>
      <c r="B127" s="141">
        <f t="shared" si="35"/>
        <v>47880</v>
      </c>
      <c r="C127" s="141">
        <f t="shared" si="43"/>
        <v>47908</v>
      </c>
      <c r="D127" s="140" t="s">
        <v>73</v>
      </c>
      <c r="E127" s="140" t="s">
        <v>75</v>
      </c>
      <c r="F127" s="140" t="s">
        <v>110</v>
      </c>
      <c r="G127" s="142">
        <v>1900</v>
      </c>
      <c r="H127" s="143">
        <v>1</v>
      </c>
      <c r="I127" s="145">
        <f t="shared" si="36"/>
        <v>1</v>
      </c>
      <c r="J127" s="142">
        <f t="shared" si="37"/>
        <v>1900</v>
      </c>
      <c r="K127" s="142">
        <f t="shared" si="42"/>
        <v>1520</v>
      </c>
      <c r="L127" s="142">
        <f t="shared" si="30"/>
        <v>1900</v>
      </c>
      <c r="M127" s="142">
        <f t="shared" si="31"/>
        <v>1520</v>
      </c>
      <c r="N127" s="126">
        <v>2031</v>
      </c>
    </row>
  </sheetData>
  <autoFilter xmlns:etc="http://www.wps.cn/officeDocument/2017/etCustomData" ref="E1:E127" etc:filterBottomFollowUsedRange="0">
    <filterColumn colId="0">
      <filters>
        <filter val="Kyllinger"/>
        <filter val="Kartofler"/>
        <filter val="Jordbær"/>
        <filter val="Generelt"/>
        <filter val="Æg"/>
        <filter val="Kvæg"/>
      </filters>
    </filterColumn>
    <extLst/>
  </autoFilter>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FF00"/>
  </sheetPr>
  <dimension ref="A1:L18"/>
  <sheetViews>
    <sheetView workbookViewId="0">
      <pane ySplit="1" topLeftCell="A2" activePane="bottomLeft" state="frozen"/>
      <selection/>
      <selection pane="bottomLeft" activeCell="G29" sqref="G29"/>
    </sheetView>
  </sheetViews>
  <sheetFormatPr defaultColWidth="9.14285714285714" defaultRowHeight="12.75"/>
  <cols>
    <col min="1" max="1" width="42.8571428571429" customWidth="1"/>
    <col min="2" max="2" width="14.5714285714286" style="106" customWidth="1"/>
    <col min="3" max="3" width="12.2857142857143" style="106" customWidth="1"/>
    <col min="4" max="4" width="14.5714285714286" customWidth="1"/>
    <col min="5" max="5" width="15.7142857142857" customWidth="1"/>
    <col min="6" max="6" width="13.7142857142857" customWidth="1"/>
    <col min="7" max="7" width="20.1428571428571" customWidth="1"/>
    <col min="8" max="8" width="14.5714285714286" customWidth="1"/>
    <col min="9" max="9" width="15.7142857142857" style="107" customWidth="1"/>
    <col min="10" max="10" width="19" customWidth="1"/>
    <col min="11" max="11" width="17.5714285714286" customWidth="1"/>
    <col min="12" max="12" width="19" style="108" customWidth="1"/>
  </cols>
  <sheetData>
    <row r="1" ht="25.5" spans="1:12">
      <c r="A1" s="109" t="s">
        <v>53</v>
      </c>
      <c r="B1" s="110" t="s">
        <v>54</v>
      </c>
      <c r="C1" s="110" t="s">
        <v>55</v>
      </c>
      <c r="D1" s="109" t="s">
        <v>56</v>
      </c>
      <c r="E1" s="111" t="s">
        <v>57</v>
      </c>
      <c r="F1" s="109" t="s">
        <v>1</v>
      </c>
      <c r="G1" s="109" t="s">
        <v>58</v>
      </c>
      <c r="H1" s="111" t="s">
        <v>59</v>
      </c>
      <c r="I1" s="112" t="s">
        <v>60</v>
      </c>
      <c r="J1" s="111" t="s">
        <v>61</v>
      </c>
      <c r="K1" s="111" t="s">
        <v>112</v>
      </c>
      <c r="L1" s="113" t="s">
        <v>113</v>
      </c>
    </row>
    <row r="2" hidden="1" spans="1:12">
      <c r="A2" t="s">
        <v>114</v>
      </c>
      <c r="B2" s="114">
        <v>46266</v>
      </c>
      <c r="C2" s="115">
        <f t="shared" ref="C2:C18" si="0">EDATE(B2,0)</f>
        <v>46266</v>
      </c>
      <c r="D2" t="s">
        <v>115</v>
      </c>
      <c r="E2" t="s">
        <v>116</v>
      </c>
      <c r="F2" t="s">
        <v>117</v>
      </c>
      <c r="G2" t="s">
        <v>74</v>
      </c>
      <c r="H2" s="116">
        <v>30</v>
      </c>
      <c r="I2" s="117">
        <v>0</v>
      </c>
      <c r="J2" s="118">
        <f t="shared" ref="J2:J18" si="1">DATEDIF(B2,C2,"m")+1</f>
        <v>1</v>
      </c>
      <c r="K2" s="116">
        <f t="shared" ref="K2:K18" si="2">I2*H2/J2</f>
        <v>0</v>
      </c>
      <c r="L2" s="119">
        <f t="shared" ref="L2:L18" si="3">(K2-K2/5)</f>
        <v>0</v>
      </c>
    </row>
    <row r="3" hidden="1" spans="1:12">
      <c r="A3" t="s">
        <v>118</v>
      </c>
      <c r="B3" s="114">
        <f>B2</f>
        <v>46266</v>
      </c>
      <c r="C3" s="115">
        <f t="shared" si="0"/>
        <v>46266</v>
      </c>
      <c r="D3" t="s">
        <v>115</v>
      </c>
      <c r="E3" t="s">
        <v>116</v>
      </c>
      <c r="F3" t="s">
        <v>119</v>
      </c>
      <c r="G3" t="s">
        <v>74</v>
      </c>
      <c r="H3" s="116">
        <v>30</v>
      </c>
      <c r="I3" s="117">
        <v>0</v>
      </c>
      <c r="J3" s="118">
        <f t="shared" si="1"/>
        <v>1</v>
      </c>
      <c r="K3" s="116">
        <f t="shared" si="2"/>
        <v>0</v>
      </c>
      <c r="L3" s="119">
        <f t="shared" si="3"/>
        <v>0</v>
      </c>
    </row>
    <row r="4" hidden="1" spans="1:12">
      <c r="A4" t="s">
        <v>120</v>
      </c>
      <c r="B4" s="114">
        <f>B3</f>
        <v>46266</v>
      </c>
      <c r="C4" s="115">
        <f t="shared" si="0"/>
        <v>46266</v>
      </c>
      <c r="D4" t="s">
        <v>115</v>
      </c>
      <c r="E4" t="s">
        <v>116</v>
      </c>
      <c r="F4" t="s">
        <v>121</v>
      </c>
      <c r="G4" t="s">
        <v>74</v>
      </c>
      <c r="H4" s="116">
        <v>50</v>
      </c>
      <c r="I4" s="117">
        <v>0</v>
      </c>
      <c r="J4" s="118">
        <f t="shared" si="1"/>
        <v>1</v>
      </c>
      <c r="K4" s="116">
        <f t="shared" si="2"/>
        <v>0</v>
      </c>
      <c r="L4" s="119">
        <f t="shared" si="3"/>
        <v>0</v>
      </c>
    </row>
    <row r="5" spans="1:12">
      <c r="A5" s="10" t="s">
        <v>122</v>
      </c>
      <c r="B5" s="114">
        <v>46204</v>
      </c>
      <c r="C5" s="115">
        <f t="shared" si="0"/>
        <v>46204</v>
      </c>
      <c r="D5" t="s">
        <v>115</v>
      </c>
      <c r="E5" t="s">
        <v>116</v>
      </c>
      <c r="F5" t="s">
        <v>77</v>
      </c>
      <c r="G5" t="s">
        <v>74</v>
      </c>
      <c r="H5" s="116">
        <v>1</v>
      </c>
      <c r="I5" s="117">
        <v>4000</v>
      </c>
      <c r="J5" s="118">
        <f t="shared" si="1"/>
        <v>1</v>
      </c>
      <c r="K5" s="116">
        <f t="shared" si="2"/>
        <v>4000</v>
      </c>
      <c r="L5" s="119">
        <f t="shared" si="3"/>
        <v>3200</v>
      </c>
    </row>
    <row r="6" spans="1:12">
      <c r="A6" t="s">
        <v>123</v>
      </c>
      <c r="B6" s="114">
        <v>46204</v>
      </c>
      <c r="C6" s="115">
        <f t="shared" si="0"/>
        <v>46204</v>
      </c>
      <c r="D6" t="s">
        <v>115</v>
      </c>
      <c r="E6" t="s">
        <v>116</v>
      </c>
      <c r="F6" t="s">
        <v>76</v>
      </c>
      <c r="G6" t="s">
        <v>74</v>
      </c>
      <c r="H6" s="120">
        <f>32300/3</f>
        <v>10766.6666666667</v>
      </c>
      <c r="I6" s="121">
        <v>3</v>
      </c>
      <c r="J6" s="122">
        <f t="shared" si="1"/>
        <v>1</v>
      </c>
      <c r="K6" s="120">
        <f t="shared" si="2"/>
        <v>32300</v>
      </c>
      <c r="L6" s="123">
        <f t="shared" si="3"/>
        <v>25840</v>
      </c>
    </row>
    <row r="7" spans="1:12">
      <c r="A7" s="10" t="s">
        <v>124</v>
      </c>
      <c r="B7" s="114">
        <v>46266</v>
      </c>
      <c r="C7" s="115">
        <f t="shared" si="0"/>
        <v>46266</v>
      </c>
      <c r="D7" s="106" t="s">
        <v>115</v>
      </c>
      <c r="E7" t="s">
        <v>116</v>
      </c>
      <c r="F7" t="s">
        <v>91</v>
      </c>
      <c r="G7" t="s">
        <v>74</v>
      </c>
      <c r="H7" s="116">
        <v>250000</v>
      </c>
      <c r="I7" s="117">
        <v>1</v>
      </c>
      <c r="J7" s="118">
        <f t="shared" si="1"/>
        <v>1</v>
      </c>
      <c r="K7" s="116">
        <f t="shared" si="2"/>
        <v>250000</v>
      </c>
      <c r="L7" s="119">
        <f t="shared" si="3"/>
        <v>200000</v>
      </c>
    </row>
    <row r="8" spans="1:12">
      <c r="A8" t="s">
        <v>125</v>
      </c>
      <c r="B8" s="114">
        <v>46204</v>
      </c>
      <c r="C8" s="115">
        <f t="shared" si="0"/>
        <v>46204</v>
      </c>
      <c r="D8" s="106" t="s">
        <v>115</v>
      </c>
      <c r="E8" t="s">
        <v>116</v>
      </c>
      <c r="F8" t="s">
        <v>75</v>
      </c>
      <c r="G8" t="s">
        <v>74</v>
      </c>
      <c r="H8" s="120">
        <f>23262-H17</f>
        <v>20762</v>
      </c>
      <c r="I8" s="121">
        <v>1</v>
      </c>
      <c r="J8" s="122">
        <f t="shared" si="1"/>
        <v>1</v>
      </c>
      <c r="K8" s="120">
        <f t="shared" si="2"/>
        <v>20762</v>
      </c>
      <c r="L8" s="123">
        <f t="shared" si="3"/>
        <v>16609.6</v>
      </c>
    </row>
    <row r="9" spans="1:12">
      <c r="A9" s="10" t="s">
        <v>126</v>
      </c>
      <c r="B9" s="114">
        <v>46266</v>
      </c>
      <c r="C9" s="115">
        <f t="shared" si="0"/>
        <v>46266</v>
      </c>
      <c r="D9" s="106" t="s">
        <v>115</v>
      </c>
      <c r="E9" t="s">
        <v>116</v>
      </c>
      <c r="F9" t="s">
        <v>75</v>
      </c>
      <c r="G9" t="s">
        <v>74</v>
      </c>
      <c r="H9" s="116">
        <v>2000</v>
      </c>
      <c r="I9" s="117">
        <v>1</v>
      </c>
      <c r="J9" s="118">
        <f t="shared" si="1"/>
        <v>1</v>
      </c>
      <c r="K9" s="116">
        <f t="shared" si="2"/>
        <v>2000</v>
      </c>
      <c r="L9" s="119">
        <f t="shared" si="3"/>
        <v>1600</v>
      </c>
    </row>
    <row r="10" spans="1:12">
      <c r="A10" s="10" t="s">
        <v>127</v>
      </c>
      <c r="B10" s="114">
        <v>46296</v>
      </c>
      <c r="C10" s="115">
        <f t="shared" si="0"/>
        <v>46296</v>
      </c>
      <c r="D10" s="106" t="s">
        <v>115</v>
      </c>
      <c r="E10" t="s">
        <v>116</v>
      </c>
      <c r="F10" t="s">
        <v>91</v>
      </c>
      <c r="G10" t="s">
        <v>74</v>
      </c>
      <c r="H10" s="116">
        <v>10000</v>
      </c>
      <c r="I10" s="117">
        <v>1</v>
      </c>
      <c r="J10" s="118">
        <f t="shared" si="1"/>
        <v>1</v>
      </c>
      <c r="K10" s="116">
        <f t="shared" si="2"/>
        <v>10000</v>
      </c>
      <c r="L10" s="119">
        <f t="shared" si="3"/>
        <v>8000</v>
      </c>
    </row>
    <row r="11" spans="1:12">
      <c r="A11" s="10" t="s">
        <v>128</v>
      </c>
      <c r="B11" s="114">
        <v>46478</v>
      </c>
      <c r="C11" s="115">
        <f t="shared" si="0"/>
        <v>46478</v>
      </c>
      <c r="D11" s="106" t="s">
        <v>115</v>
      </c>
      <c r="E11" t="s">
        <v>116</v>
      </c>
      <c r="F11" t="s">
        <v>71</v>
      </c>
      <c r="G11" t="s">
        <v>74</v>
      </c>
      <c r="H11" s="116">
        <v>4500</v>
      </c>
      <c r="I11" s="117">
        <v>1</v>
      </c>
      <c r="J11" s="118">
        <f t="shared" si="1"/>
        <v>1</v>
      </c>
      <c r="K11" s="116">
        <f t="shared" si="2"/>
        <v>4500</v>
      </c>
      <c r="L11" s="119">
        <f t="shared" si="3"/>
        <v>3600</v>
      </c>
    </row>
    <row r="12" spans="1:12">
      <c r="A12" s="10" t="s">
        <v>129</v>
      </c>
      <c r="B12" s="114">
        <v>46327</v>
      </c>
      <c r="C12" s="115">
        <f t="shared" si="0"/>
        <v>46327</v>
      </c>
      <c r="D12" s="106" t="s">
        <v>115</v>
      </c>
      <c r="E12" t="s">
        <v>116</v>
      </c>
      <c r="F12" t="s">
        <v>75</v>
      </c>
      <c r="G12" t="s">
        <v>74</v>
      </c>
      <c r="H12" s="116">
        <v>4000</v>
      </c>
      <c r="I12" s="117">
        <v>1</v>
      </c>
      <c r="J12" s="118">
        <f t="shared" si="1"/>
        <v>1</v>
      </c>
      <c r="K12" s="116">
        <f t="shared" si="2"/>
        <v>4000</v>
      </c>
      <c r="L12" s="119">
        <f t="shared" si="3"/>
        <v>3200</v>
      </c>
    </row>
    <row r="13" spans="1:12">
      <c r="A13" t="s">
        <v>130</v>
      </c>
      <c r="B13" s="114">
        <v>46143</v>
      </c>
      <c r="C13" s="115">
        <f t="shared" si="0"/>
        <v>46143</v>
      </c>
      <c r="D13" s="106" t="s">
        <v>115</v>
      </c>
      <c r="E13" t="s">
        <v>116</v>
      </c>
      <c r="F13" t="s">
        <v>76</v>
      </c>
      <c r="G13" t="s">
        <v>74</v>
      </c>
      <c r="H13" s="120">
        <v>4900</v>
      </c>
      <c r="I13" s="121">
        <v>1</v>
      </c>
      <c r="J13" s="122">
        <f t="shared" si="1"/>
        <v>1</v>
      </c>
      <c r="K13" s="120">
        <f t="shared" si="2"/>
        <v>4900</v>
      </c>
      <c r="L13" s="123">
        <f t="shared" si="3"/>
        <v>3920</v>
      </c>
    </row>
    <row r="14" spans="1:12">
      <c r="A14" s="10" t="s">
        <v>131</v>
      </c>
      <c r="B14" s="114">
        <v>46266</v>
      </c>
      <c r="C14" s="115">
        <f t="shared" si="0"/>
        <v>46266</v>
      </c>
      <c r="D14" s="106" t="s">
        <v>115</v>
      </c>
      <c r="E14" t="s">
        <v>116</v>
      </c>
      <c r="F14" t="s">
        <v>77</v>
      </c>
      <c r="G14" t="s">
        <v>74</v>
      </c>
      <c r="H14" s="116">
        <v>5000</v>
      </c>
      <c r="I14" s="117">
        <v>1</v>
      </c>
      <c r="J14" s="118">
        <f t="shared" si="1"/>
        <v>1</v>
      </c>
      <c r="K14" s="116">
        <f t="shared" si="2"/>
        <v>5000</v>
      </c>
      <c r="L14" s="119">
        <f t="shared" si="3"/>
        <v>4000</v>
      </c>
    </row>
    <row r="15" s="3" customFormat="1" spans="1:12">
      <c r="A15" s="3" t="s">
        <v>132</v>
      </c>
      <c r="B15" s="124">
        <v>46143</v>
      </c>
      <c r="C15" s="115">
        <f t="shared" si="0"/>
        <v>46143</v>
      </c>
      <c r="D15" s="115" t="s">
        <v>115</v>
      </c>
      <c r="E15" s="3" t="s">
        <v>116</v>
      </c>
      <c r="F15" s="3" t="s">
        <v>91</v>
      </c>
      <c r="G15" s="3" t="s">
        <v>74</v>
      </c>
      <c r="H15" s="120">
        <v>1500</v>
      </c>
      <c r="I15" s="121">
        <v>1</v>
      </c>
      <c r="J15" s="122">
        <f t="shared" si="1"/>
        <v>1</v>
      </c>
      <c r="K15" s="120">
        <f t="shared" si="2"/>
        <v>1500</v>
      </c>
      <c r="L15" s="123">
        <f t="shared" si="3"/>
        <v>1200</v>
      </c>
    </row>
    <row r="16" s="3" customFormat="1" spans="1:12">
      <c r="A16" s="3" t="s">
        <v>133</v>
      </c>
      <c r="B16" s="124">
        <v>46143</v>
      </c>
      <c r="C16" s="115">
        <f t="shared" si="0"/>
        <v>46143</v>
      </c>
      <c r="D16" s="115" t="s">
        <v>115</v>
      </c>
      <c r="E16" s="3" t="s">
        <v>116</v>
      </c>
      <c r="F16" s="3" t="s">
        <v>76</v>
      </c>
      <c r="G16" s="3" t="s">
        <v>74</v>
      </c>
      <c r="H16" s="120">
        <v>1177</v>
      </c>
      <c r="I16" s="121">
        <v>1</v>
      </c>
      <c r="J16" s="122">
        <f t="shared" si="1"/>
        <v>1</v>
      </c>
      <c r="K16" s="120">
        <f t="shared" si="2"/>
        <v>1177</v>
      </c>
      <c r="L16" s="123">
        <f t="shared" si="3"/>
        <v>941.6</v>
      </c>
    </row>
    <row r="17" spans="1:12">
      <c r="A17" t="s">
        <v>134</v>
      </c>
      <c r="B17" s="114">
        <v>46143</v>
      </c>
      <c r="C17" s="115">
        <f t="shared" si="0"/>
        <v>46143</v>
      </c>
      <c r="D17" s="106" t="s">
        <v>115</v>
      </c>
      <c r="E17" t="s">
        <v>116</v>
      </c>
      <c r="F17" t="s">
        <v>75</v>
      </c>
      <c r="G17" t="s">
        <v>74</v>
      </c>
      <c r="H17" s="120">
        <v>2500</v>
      </c>
      <c r="I17" s="121">
        <v>1</v>
      </c>
      <c r="J17" s="122">
        <f t="shared" si="1"/>
        <v>1</v>
      </c>
      <c r="K17" s="120">
        <f t="shared" si="2"/>
        <v>2500</v>
      </c>
      <c r="L17" s="123">
        <f t="shared" si="3"/>
        <v>2000</v>
      </c>
    </row>
    <row r="18" spans="1:12">
      <c r="I18"/>
    </row>
  </sheetData>
  <autoFilter xmlns:etc="http://www.wps.cn/officeDocument/2017/etCustomData" ref="F1:F18" etc:filterBottomFollowUsedRange="0">
    <filterColumn colId="0">
      <filters blank="1">
        <filter val="Kyllinger"/>
        <filter val="Jordbær"/>
        <filter val="Generelt"/>
        <filter val="Æg"/>
        <filter val="Kvæg"/>
      </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Z969"/>
  <sheetViews>
    <sheetView showGridLines="0" workbookViewId="0">
      <selection activeCell="E32" sqref="E32"/>
    </sheetView>
  </sheetViews>
  <sheetFormatPr defaultColWidth="14.5047619047619" defaultRowHeight="15" customHeight="1"/>
  <cols>
    <col min="1" max="1" width="53.1428571428571" style="55" customWidth="1"/>
    <col min="2" max="13" width="11.352380952381" style="55" customWidth="1"/>
    <col min="14" max="14" width="13.5047619047619" style="55" customWidth="1"/>
    <col min="15" max="26" width="8.67619047619048" style="55" customWidth="1"/>
    <col min="27" max="16384" width="14.5047619047619" style="55" customWidth="1"/>
  </cols>
  <sheetData>
    <row r="1" ht="15.75" customHeight="1" spans="1:26">
      <c r="A1" s="56"/>
      <c r="B1" s="57"/>
      <c r="C1" s="57"/>
      <c r="D1" s="57"/>
      <c r="E1" s="57"/>
      <c r="F1" s="57"/>
      <c r="G1" s="57"/>
      <c r="H1" s="57"/>
      <c r="I1" s="57"/>
      <c r="J1" s="57"/>
      <c r="K1" s="57"/>
      <c r="L1" s="57"/>
      <c r="M1" s="57"/>
      <c r="N1" s="57"/>
      <c r="O1" s="57"/>
      <c r="P1" s="57"/>
      <c r="Q1" s="57"/>
      <c r="R1" s="57"/>
      <c r="S1" s="57"/>
      <c r="T1" s="57"/>
      <c r="U1" s="57"/>
      <c r="V1" s="57"/>
      <c r="W1" s="57"/>
      <c r="X1" s="57"/>
      <c r="Y1" s="57"/>
      <c r="Z1" s="58"/>
    </row>
    <row r="2" ht="15.75" customHeight="1" spans="1:26">
      <c r="A2" s="59"/>
      <c r="B2" s="60"/>
      <c r="C2" s="60"/>
      <c r="D2" s="60"/>
      <c r="E2" s="60"/>
      <c r="F2" s="60"/>
      <c r="G2" s="60"/>
      <c r="H2" s="60"/>
      <c r="I2" s="60"/>
      <c r="J2" s="60"/>
      <c r="K2" s="60"/>
      <c r="L2" s="60"/>
      <c r="M2" s="60"/>
      <c r="N2" s="60"/>
      <c r="O2" s="60"/>
      <c r="P2" s="60"/>
      <c r="Q2" s="60"/>
      <c r="R2" s="60"/>
      <c r="S2" s="60"/>
      <c r="T2" s="60"/>
      <c r="U2" s="60"/>
      <c r="V2" s="60"/>
      <c r="W2" s="60"/>
      <c r="X2" s="60"/>
      <c r="Y2" s="60"/>
      <c r="Z2" s="61"/>
    </row>
    <row r="3" ht="28.5" customHeight="1" spans="1:26">
      <c r="A3" s="62"/>
      <c r="B3" s="63"/>
      <c r="C3" s="63"/>
      <c r="D3" s="63"/>
      <c r="E3" s="63"/>
      <c r="F3" s="63"/>
      <c r="G3" s="63"/>
      <c r="H3" s="63"/>
      <c r="I3" s="63"/>
      <c r="J3" s="63"/>
      <c r="K3" s="63"/>
      <c r="L3" s="63"/>
      <c r="M3" s="63"/>
      <c r="N3" s="63"/>
      <c r="O3" s="60"/>
      <c r="P3" s="60"/>
      <c r="Q3" s="60"/>
      <c r="R3" s="60"/>
      <c r="S3" s="60"/>
      <c r="T3" s="60"/>
      <c r="U3" s="60"/>
      <c r="V3" s="60"/>
      <c r="W3" s="60"/>
      <c r="X3" s="60"/>
      <c r="Y3" s="60"/>
      <c r="Z3" s="61"/>
    </row>
    <row r="4" ht="21.95" customHeight="1" spans="1:26">
      <c r="A4" s="64"/>
      <c r="B4" s="60"/>
      <c r="C4" s="60"/>
      <c r="D4" s="60"/>
      <c r="E4" s="60"/>
      <c r="F4" s="60"/>
      <c r="G4" s="60"/>
      <c r="H4" s="60"/>
      <c r="I4" s="60"/>
      <c r="J4" s="60"/>
      <c r="K4" s="60"/>
      <c r="L4" s="60"/>
      <c r="M4" s="60"/>
      <c r="N4" s="60"/>
      <c r="O4" s="60"/>
      <c r="P4" s="60"/>
      <c r="Q4" s="60"/>
      <c r="R4" s="60"/>
      <c r="S4" s="60"/>
      <c r="T4" s="60"/>
      <c r="U4" s="60"/>
      <c r="V4" s="60"/>
      <c r="W4" s="60"/>
      <c r="X4" s="60"/>
      <c r="Y4" s="60"/>
      <c r="Z4" s="61"/>
    </row>
    <row r="5" ht="23.25" customHeight="1" spans="1:26">
      <c r="A5" s="65" t="s">
        <v>135</v>
      </c>
      <c r="B5" s="66" t="s">
        <v>136</v>
      </c>
      <c r="C5" s="67"/>
      <c r="D5" s="67"/>
      <c r="E5" s="67"/>
      <c r="F5" s="67"/>
      <c r="G5" s="67"/>
      <c r="H5" s="67"/>
      <c r="I5" s="67"/>
      <c r="J5" s="67"/>
      <c r="K5" s="67"/>
      <c r="L5" s="67"/>
      <c r="M5" s="67"/>
      <c r="N5" s="63"/>
      <c r="O5" s="63"/>
      <c r="P5" s="60"/>
      <c r="Q5" s="60"/>
      <c r="R5" s="60"/>
      <c r="S5" s="60"/>
      <c r="T5" s="60"/>
      <c r="U5" s="60"/>
      <c r="V5" s="60"/>
      <c r="W5" s="60"/>
      <c r="X5" s="60"/>
      <c r="Y5" s="60"/>
      <c r="Z5" s="61"/>
    </row>
    <row r="6" ht="15.75" customHeight="1" spans="1:26">
      <c r="A6" s="68">
        <v>2026</v>
      </c>
      <c r="B6" s="69" t="s">
        <v>137</v>
      </c>
      <c r="C6" s="69" t="s">
        <v>138</v>
      </c>
      <c r="D6" s="69" t="s">
        <v>139</v>
      </c>
      <c r="E6" s="69" t="s">
        <v>140</v>
      </c>
      <c r="F6" s="69" t="s">
        <v>141</v>
      </c>
      <c r="G6" s="69" t="s">
        <v>142</v>
      </c>
      <c r="H6" s="69" t="s">
        <v>143</v>
      </c>
      <c r="I6" s="69" t="s">
        <v>144</v>
      </c>
      <c r="J6" s="69" t="s">
        <v>145</v>
      </c>
      <c r="K6" s="69" t="s">
        <v>146</v>
      </c>
      <c r="L6" s="69" t="s">
        <v>147</v>
      </c>
      <c r="M6" s="70" t="s">
        <v>148</v>
      </c>
      <c r="N6" s="71" t="s">
        <v>149</v>
      </c>
      <c r="O6" s="60"/>
      <c r="P6" s="60"/>
      <c r="Q6" s="60"/>
      <c r="R6" s="60"/>
      <c r="S6" s="60"/>
      <c r="T6" s="60"/>
      <c r="U6" s="60"/>
      <c r="V6" s="60"/>
      <c r="W6" s="60"/>
      <c r="X6" s="60"/>
      <c r="Y6" s="60"/>
      <c r="Z6" s="61"/>
    </row>
    <row r="7" ht="15.75" customHeight="1" spans="1:26">
      <c r="A7" s="72"/>
      <c r="B7" s="72"/>
      <c r="C7" s="72"/>
      <c r="D7" s="72"/>
      <c r="E7" s="72"/>
      <c r="F7" s="72"/>
      <c r="G7" s="72"/>
      <c r="H7" s="72"/>
      <c r="I7" s="72"/>
      <c r="J7" s="72"/>
      <c r="K7" s="72"/>
      <c r="L7" s="72"/>
      <c r="M7" s="73"/>
      <c r="N7" s="74"/>
      <c r="O7" s="60"/>
      <c r="P7" s="60"/>
      <c r="Q7" s="60"/>
      <c r="R7" s="60"/>
      <c r="S7" s="60"/>
      <c r="T7" s="60"/>
      <c r="U7" s="60"/>
      <c r="V7" s="60"/>
      <c r="W7" s="60"/>
      <c r="X7" s="60"/>
      <c r="Y7" s="60"/>
      <c r="Z7" s="61"/>
    </row>
    <row r="8" ht="15.75" customHeight="1" spans="1:26">
      <c r="A8" s="75" t="s">
        <v>150</v>
      </c>
      <c r="B8" s="76">
        <f>35000+150000</f>
        <v>185000</v>
      </c>
      <c r="C8" s="77">
        <f t="shared" ref="C8:M8" si="0">B27</f>
        <v>177142.5</v>
      </c>
      <c r="D8" s="77">
        <f t="shared" si="0"/>
        <v>169285</v>
      </c>
      <c r="E8" s="77">
        <f t="shared" si="0"/>
        <v>161427.5</v>
      </c>
      <c r="F8" s="77">
        <f t="shared" si="0"/>
        <v>153570</v>
      </c>
      <c r="G8" s="77">
        <f t="shared" si="0"/>
        <v>151135.5</v>
      </c>
      <c r="H8" s="77">
        <f t="shared" si="0"/>
        <v>129428</v>
      </c>
      <c r="I8" s="77">
        <f t="shared" si="0"/>
        <v>61658.5</v>
      </c>
      <c r="J8" s="77">
        <f t="shared" si="0"/>
        <v>50951</v>
      </c>
      <c r="K8" s="77">
        <f t="shared" si="0"/>
        <v>-178156.5</v>
      </c>
      <c r="L8" s="77">
        <f t="shared" si="0"/>
        <v>-199064</v>
      </c>
      <c r="M8" s="78">
        <f t="shared" si="0"/>
        <v>-204412.253424658</v>
      </c>
      <c r="N8" s="79">
        <f>M8+M12</f>
        <v>-201253.006849315</v>
      </c>
      <c r="O8" s="60"/>
      <c r="P8" s="60"/>
      <c r="Q8" s="60"/>
      <c r="R8" s="60"/>
      <c r="S8" s="60"/>
      <c r="T8" s="60"/>
      <c r="U8" s="60"/>
      <c r="V8" s="60"/>
      <c r="W8" s="60"/>
      <c r="X8" s="60"/>
      <c r="Y8" s="60"/>
      <c r="Z8" s="61"/>
    </row>
    <row r="9" ht="15.75" customHeight="1" spans="1:26">
      <c r="A9" s="77"/>
      <c r="B9" s="72"/>
      <c r="C9" s="72"/>
      <c r="D9" s="72"/>
      <c r="E9" s="72"/>
      <c r="F9" s="72"/>
      <c r="G9" s="72"/>
      <c r="H9" s="72"/>
      <c r="I9" s="72"/>
      <c r="J9" s="72"/>
      <c r="K9" s="72"/>
      <c r="L9" s="72"/>
      <c r="M9" s="73"/>
      <c r="N9" s="74"/>
      <c r="O9" s="60"/>
      <c r="P9" s="60"/>
      <c r="Q9" s="60"/>
      <c r="R9" s="60"/>
      <c r="S9" s="60"/>
      <c r="T9" s="60"/>
      <c r="U9" s="60"/>
      <c r="V9" s="60"/>
      <c r="W9" s="60"/>
      <c r="X9" s="60"/>
      <c r="Y9" s="60"/>
      <c r="Z9" s="61"/>
    </row>
    <row r="10" ht="15.75" customHeight="1" spans="1:26">
      <c r="A10" s="80" t="s">
        <v>151</v>
      </c>
      <c r="B10" s="81"/>
      <c r="C10" s="81"/>
      <c r="D10" s="81"/>
      <c r="E10" s="81"/>
      <c r="F10" s="81"/>
      <c r="G10" s="81"/>
      <c r="H10" s="81"/>
      <c r="I10" s="81"/>
      <c r="J10" s="81"/>
      <c r="K10" s="81"/>
      <c r="L10" s="81"/>
      <c r="M10" s="82"/>
      <c r="N10" s="83"/>
      <c r="O10" s="60"/>
      <c r="P10" s="60"/>
      <c r="Q10" s="60"/>
      <c r="R10" s="60"/>
      <c r="S10" s="60"/>
      <c r="T10" s="60"/>
      <c r="U10" s="60"/>
      <c r="V10" s="60"/>
      <c r="W10" s="60"/>
      <c r="X10" s="60"/>
      <c r="Y10" s="60"/>
      <c r="Z10" s="61"/>
    </row>
    <row r="11" ht="15.75" customHeight="1" spans="1:26">
      <c r="A11" s="84" t="s">
        <v>152</v>
      </c>
      <c r="B11" s="85">
        <f>1.25*Driftsbudget!B15</f>
        <v>0</v>
      </c>
      <c r="C11" s="85">
        <f>1.25*Driftsbudget!C15</f>
        <v>0</v>
      </c>
      <c r="D11" s="85">
        <f>1.25*Driftsbudget!D15</f>
        <v>0</v>
      </c>
      <c r="E11" s="85">
        <f>1.25*Driftsbudget!E15</f>
        <v>0</v>
      </c>
      <c r="F11" s="85">
        <f>1.25*Driftsbudget!F15</f>
        <v>25000</v>
      </c>
      <c r="G11" s="85">
        <f>1.25*Driftsbudget!G15</f>
        <v>0</v>
      </c>
      <c r="H11" s="85">
        <f>1.25*Driftsbudget!H15</f>
        <v>0</v>
      </c>
      <c r="I11" s="85">
        <f>1.25*Driftsbudget!I15</f>
        <v>0</v>
      </c>
      <c r="J11" s="85">
        <f>1.25*Driftsbudget!J15</f>
        <v>0</v>
      </c>
      <c r="K11" s="85">
        <f>1.25*Driftsbudget!K15</f>
        <v>0</v>
      </c>
      <c r="L11" s="86">
        <f>1.25*Driftsbudget!L15</f>
        <v>6909.24657534246</v>
      </c>
      <c r="M11" s="87">
        <f>1.25*Driftsbudget!M15</f>
        <v>3159.24657534246</v>
      </c>
      <c r="N11" s="74">
        <f>SUM(B11:M11)</f>
        <v>35068.4931506849</v>
      </c>
      <c r="O11" s="60"/>
      <c r="P11" s="60"/>
      <c r="Q11" s="60"/>
      <c r="R11" s="60"/>
      <c r="S11" s="60"/>
      <c r="T11" s="60"/>
      <c r="U11" s="60"/>
      <c r="V11" s="60"/>
      <c r="W11" s="60"/>
      <c r="X11" s="60"/>
      <c r="Y11" s="60"/>
      <c r="Z11" s="61"/>
    </row>
    <row r="12" ht="15.75" customHeight="1" spans="1:26">
      <c r="A12" s="75" t="s">
        <v>153</v>
      </c>
      <c r="B12" s="77">
        <f>SUM(B11:B11)</f>
        <v>0</v>
      </c>
      <c r="C12" s="77">
        <f t="shared" ref="C12:M12" si="1">SUM(C10:C11)</f>
        <v>0</v>
      </c>
      <c r="D12" s="77">
        <f t="shared" si="1"/>
        <v>0</v>
      </c>
      <c r="E12" s="77">
        <f t="shared" si="1"/>
        <v>0</v>
      </c>
      <c r="F12" s="77">
        <f t="shared" si="1"/>
        <v>25000</v>
      </c>
      <c r="G12" s="77">
        <f t="shared" si="1"/>
        <v>0</v>
      </c>
      <c r="H12" s="77">
        <f t="shared" si="1"/>
        <v>0</v>
      </c>
      <c r="I12" s="77">
        <f t="shared" si="1"/>
        <v>0</v>
      </c>
      <c r="J12" s="77">
        <f t="shared" si="1"/>
        <v>0</v>
      </c>
      <c r="K12" s="77">
        <f t="shared" si="1"/>
        <v>0</v>
      </c>
      <c r="L12" s="77">
        <f t="shared" si="1"/>
        <v>6909.24657534246</v>
      </c>
      <c r="M12" s="78">
        <f t="shared" si="1"/>
        <v>3159.24657534246</v>
      </c>
      <c r="N12" s="79">
        <f>SUM(B12:M12)</f>
        <v>35068.4931506849</v>
      </c>
      <c r="O12" s="60"/>
      <c r="P12" s="60"/>
      <c r="Q12" s="60"/>
      <c r="R12" s="60"/>
      <c r="S12" s="60"/>
      <c r="T12" s="60"/>
      <c r="U12" s="60"/>
      <c r="V12" s="60"/>
      <c r="W12" s="60"/>
      <c r="X12" s="60"/>
      <c r="Y12" s="60"/>
      <c r="Z12" s="61"/>
    </row>
    <row r="13" ht="15.75" customHeight="1" spans="1:26">
      <c r="A13" s="72"/>
      <c r="B13" s="72"/>
      <c r="C13" s="72"/>
      <c r="D13" s="72"/>
      <c r="E13" s="72"/>
      <c r="F13" s="72"/>
      <c r="G13" s="72"/>
      <c r="H13" s="72"/>
      <c r="I13" s="72"/>
      <c r="J13" s="72"/>
      <c r="K13" s="72"/>
      <c r="L13" s="72"/>
      <c r="M13" s="73"/>
      <c r="N13" s="74"/>
      <c r="O13" s="60"/>
      <c r="P13" s="60"/>
      <c r="Q13" s="60"/>
      <c r="R13" s="60"/>
      <c r="S13" s="60"/>
      <c r="T13" s="60"/>
      <c r="U13" s="60"/>
      <c r="V13" s="60"/>
      <c r="W13" s="60"/>
      <c r="X13" s="60"/>
      <c r="Y13" s="60"/>
      <c r="Z13" s="61"/>
    </row>
    <row r="14" ht="15.75" customHeight="1" spans="1:26">
      <c r="A14" s="80" t="s">
        <v>154</v>
      </c>
      <c r="B14" s="88"/>
      <c r="C14" s="88"/>
      <c r="D14" s="88"/>
      <c r="E14" s="88"/>
      <c r="F14" s="88"/>
      <c r="G14" s="88"/>
      <c r="H14" s="88"/>
      <c r="I14" s="88"/>
      <c r="J14" s="88"/>
      <c r="K14" s="88"/>
      <c r="L14" s="88"/>
      <c r="M14" s="89"/>
      <c r="N14" s="83"/>
      <c r="O14" s="60"/>
      <c r="P14" s="60"/>
      <c r="Q14" s="60"/>
      <c r="R14" s="60"/>
      <c r="S14" s="60"/>
      <c r="T14" s="60"/>
      <c r="U14" s="60"/>
      <c r="V14" s="60"/>
      <c r="W14" s="60"/>
      <c r="X14" s="60"/>
      <c r="Y14" s="60"/>
      <c r="Z14" s="61"/>
    </row>
    <row r="15" ht="15.75" customHeight="1" spans="1:26">
      <c r="A15" s="84" t="s">
        <v>155</v>
      </c>
      <c r="B15" s="90">
        <v>0</v>
      </c>
      <c r="C15" s="90">
        <v>0</v>
      </c>
      <c r="D15" s="90">
        <v>0</v>
      </c>
      <c r="E15" s="90">
        <v>0</v>
      </c>
      <c r="F15" s="90">
        <v>0</v>
      </c>
      <c r="G15" s="90">
        <v>0</v>
      </c>
      <c r="H15" s="90">
        <v>0</v>
      </c>
      <c r="I15" s="90">
        <v>0</v>
      </c>
      <c r="J15" s="90">
        <v>-3000</v>
      </c>
      <c r="K15" s="90">
        <v>0</v>
      </c>
      <c r="L15" s="90">
        <v>0</v>
      </c>
      <c r="M15" s="91">
        <v>0</v>
      </c>
      <c r="N15" s="92">
        <f>SUM(B15:M15)</f>
        <v>-3000</v>
      </c>
      <c r="O15" s="60"/>
      <c r="P15" s="60"/>
      <c r="Q15" s="60"/>
      <c r="R15" s="60"/>
      <c r="S15" s="60"/>
      <c r="T15" s="60"/>
      <c r="U15" s="60"/>
      <c r="V15" s="60"/>
      <c r="W15" s="60"/>
      <c r="X15" s="60"/>
      <c r="Y15" s="60"/>
      <c r="Z15" s="61"/>
    </row>
    <row r="16" ht="15.75" customHeight="1" spans="1:26">
      <c r="A16" s="93" t="s">
        <v>156</v>
      </c>
      <c r="B16" s="94">
        <v>0</v>
      </c>
      <c r="C16" s="94">
        <v>0</v>
      </c>
      <c r="D16" s="94">
        <v>0</v>
      </c>
      <c r="E16" s="94">
        <v>0</v>
      </c>
      <c r="F16" s="94">
        <v>0</v>
      </c>
      <c r="G16" s="94">
        <v>0</v>
      </c>
      <c r="H16" s="94">
        <v>0</v>
      </c>
      <c r="I16" s="94">
        <v>0</v>
      </c>
      <c r="J16" s="94">
        <v>0</v>
      </c>
      <c r="K16" s="94">
        <v>0</v>
      </c>
      <c r="L16" s="94">
        <v>0</v>
      </c>
      <c r="M16" s="95">
        <v>0</v>
      </c>
      <c r="N16" s="74">
        <f>SUM(B16:M16)</f>
        <v>0</v>
      </c>
      <c r="O16" s="60"/>
      <c r="P16" s="60"/>
      <c r="Q16" s="60"/>
      <c r="R16" s="60"/>
      <c r="S16" s="60"/>
      <c r="T16" s="60"/>
      <c r="U16" s="60"/>
      <c r="V16" s="60"/>
      <c r="W16" s="60"/>
      <c r="X16" s="60"/>
      <c r="Y16" s="60"/>
      <c r="Z16" s="61"/>
    </row>
    <row r="17" ht="15.75" customHeight="1" spans="1:26">
      <c r="A17" s="84" t="s">
        <v>157</v>
      </c>
      <c r="B17" s="90">
        <f>1.25*Driftsbudget!B35</f>
        <v>800</v>
      </c>
      <c r="C17" s="90">
        <f>1.25*Driftsbudget!C35</f>
        <v>800</v>
      </c>
      <c r="D17" s="90">
        <f>1.25*Driftsbudget!D35</f>
        <v>800</v>
      </c>
      <c r="E17" s="90">
        <f>1.25*Driftsbudget!E35</f>
        <v>800</v>
      </c>
      <c r="F17" s="90">
        <f>1.25*Driftsbudget!F35</f>
        <v>11800</v>
      </c>
      <c r="G17" s="90">
        <f>1.25*Driftsbudget!G35</f>
        <v>13650</v>
      </c>
      <c r="H17" s="90">
        <f>1.25*Driftsbudget!H35</f>
        <v>2650</v>
      </c>
      <c r="I17" s="90">
        <f>1.25*Driftsbudget!I35</f>
        <v>2650</v>
      </c>
      <c r="J17" s="90">
        <f>1.25*Driftsbudget!J35</f>
        <v>2650</v>
      </c>
      <c r="K17" s="90">
        <f>1.25*Driftsbudget!K35</f>
        <v>3850</v>
      </c>
      <c r="L17" s="90">
        <f>1.25*Driftsbudget!L35</f>
        <v>1200</v>
      </c>
      <c r="M17" s="91">
        <f>1.25*Driftsbudget!M35</f>
        <v>1200</v>
      </c>
      <c r="N17" s="92">
        <f>SUM(B17:M17)</f>
        <v>42850</v>
      </c>
      <c r="O17" s="60"/>
      <c r="P17" s="60"/>
      <c r="Q17" s="60"/>
      <c r="R17" s="60"/>
      <c r="S17" s="60"/>
      <c r="T17" s="60"/>
      <c r="U17" s="60"/>
      <c r="V17" s="60"/>
      <c r="W17" s="60"/>
      <c r="X17" s="60"/>
      <c r="Y17" s="60"/>
      <c r="Z17" s="61"/>
    </row>
    <row r="18" ht="15.75" customHeight="1" spans="1:26">
      <c r="A18" s="93" t="s">
        <v>158</v>
      </c>
      <c r="B18" s="72">
        <f>Driftsbudget!B48*1.25</f>
        <v>7057.5</v>
      </c>
      <c r="C18" s="72">
        <f>Driftsbudget!C48*1.25</f>
        <v>7057.5</v>
      </c>
      <c r="D18" s="72">
        <f>Driftsbudget!D48*1.25</f>
        <v>7057.5</v>
      </c>
      <c r="E18" s="72">
        <f>Driftsbudget!E48*1.25</f>
        <v>7057.5</v>
      </c>
      <c r="F18" s="72">
        <f>Driftsbudget!F48*1.25</f>
        <v>7057.5</v>
      </c>
      <c r="G18" s="72">
        <f>Driftsbudget!G48*1.25</f>
        <v>8057.5</v>
      </c>
      <c r="H18" s="72">
        <f>Driftsbudget!H48*1.25</f>
        <v>8057.5</v>
      </c>
      <c r="I18" s="72">
        <f>Driftsbudget!I48*1.25</f>
        <v>8057.5</v>
      </c>
      <c r="J18" s="72">
        <f>Driftsbudget!J48*1.25</f>
        <v>7057.5</v>
      </c>
      <c r="K18" s="72">
        <f>Driftsbudget!K48*1.25</f>
        <v>7057.5</v>
      </c>
      <c r="L18" s="72">
        <f>Driftsbudget!L48*1.25</f>
        <v>7057.5</v>
      </c>
      <c r="M18" s="73">
        <f>Driftsbudget!M48*1.25</f>
        <v>8557.5</v>
      </c>
      <c r="N18" s="74">
        <f>SUM(B18:M18)</f>
        <v>89190</v>
      </c>
      <c r="O18" s="60"/>
      <c r="P18" s="60"/>
      <c r="Q18" s="60"/>
      <c r="R18" s="60"/>
      <c r="S18" s="60"/>
      <c r="T18" s="60"/>
      <c r="U18" s="60"/>
      <c r="V18" s="60"/>
      <c r="W18" s="60"/>
      <c r="X18" s="60"/>
      <c r="Y18" s="60"/>
      <c r="Z18" s="61"/>
    </row>
    <row r="19" ht="15.75" customHeight="1" spans="1:26">
      <c r="A19" s="84" t="s">
        <v>159</v>
      </c>
      <c r="B19" s="90">
        <f>1.25*Driftsbudget!B76</f>
        <v>0</v>
      </c>
      <c r="C19" s="90">
        <f>1.25*Driftsbudget!C76</f>
        <v>0</v>
      </c>
      <c r="D19" s="90">
        <f>1.25*Driftsbudget!D76</f>
        <v>0</v>
      </c>
      <c r="E19" s="90">
        <f>1.25*Driftsbudget!E76</f>
        <v>0</v>
      </c>
      <c r="F19" s="90">
        <f>1.25*Driftsbudget!F76</f>
        <v>8577</v>
      </c>
      <c r="G19" s="90">
        <f>1.25*Driftsbudget!G76</f>
        <v>0</v>
      </c>
      <c r="H19" s="90">
        <f>1.25*Driftsbudget!H76</f>
        <v>57062</v>
      </c>
      <c r="I19" s="90">
        <f>1.25*Driftsbudget!I76</f>
        <v>0</v>
      </c>
      <c r="J19" s="96">
        <f>4*Driftsbudget!J76</f>
        <v>222400</v>
      </c>
      <c r="K19" s="90">
        <f>1.25*Driftsbudget!K76</f>
        <v>10000</v>
      </c>
      <c r="L19" s="90">
        <f>1.25*Driftsbudget!L76</f>
        <v>4000</v>
      </c>
      <c r="M19" s="90">
        <f>1.25*Driftsbudget!M76</f>
        <v>0</v>
      </c>
      <c r="N19" s="92">
        <f>SUM(B19:M19)</f>
        <v>302039</v>
      </c>
      <c r="O19" s="60"/>
      <c r="P19" s="60"/>
      <c r="Q19" s="60"/>
      <c r="R19" s="60"/>
      <c r="S19" s="60"/>
      <c r="T19" s="60"/>
      <c r="U19" s="60"/>
      <c r="V19" s="60"/>
      <c r="W19" s="60"/>
      <c r="X19" s="60"/>
      <c r="Y19" s="60"/>
      <c r="Z19" s="61"/>
    </row>
    <row r="20" ht="15.75" customHeight="1" spans="1:26">
      <c r="A20" s="75" t="s">
        <v>160</v>
      </c>
      <c r="B20" s="77">
        <f t="shared" ref="B20:N20" si="2">SUM(B15:B19)</f>
        <v>7857.5</v>
      </c>
      <c r="C20" s="77">
        <f t="shared" si="2"/>
        <v>7857.5</v>
      </c>
      <c r="D20" s="77">
        <f t="shared" si="2"/>
        <v>7857.5</v>
      </c>
      <c r="E20" s="77">
        <f t="shared" si="2"/>
        <v>7857.5</v>
      </c>
      <c r="F20" s="77">
        <f t="shared" si="2"/>
        <v>27434.5</v>
      </c>
      <c r="G20" s="77">
        <f t="shared" si="2"/>
        <v>21707.5</v>
      </c>
      <c r="H20" s="77">
        <f t="shared" si="2"/>
        <v>67769.5</v>
      </c>
      <c r="I20" s="77">
        <f t="shared" si="2"/>
        <v>10707.5</v>
      </c>
      <c r="J20" s="77">
        <f t="shared" si="2"/>
        <v>229107.5</v>
      </c>
      <c r="K20" s="77">
        <f t="shared" si="2"/>
        <v>20907.5</v>
      </c>
      <c r="L20" s="77">
        <f t="shared" si="2"/>
        <v>12257.5</v>
      </c>
      <c r="M20" s="78">
        <f t="shared" si="2"/>
        <v>9757.5</v>
      </c>
      <c r="N20" s="79">
        <f t="shared" si="2"/>
        <v>431079</v>
      </c>
      <c r="O20" s="60"/>
      <c r="P20" s="60"/>
      <c r="Q20" s="60"/>
      <c r="R20" s="60"/>
      <c r="S20" s="60"/>
      <c r="T20" s="60"/>
      <c r="U20" s="60"/>
      <c r="V20" s="60"/>
      <c r="W20" s="60"/>
      <c r="X20" s="60"/>
      <c r="Y20" s="60"/>
      <c r="Z20" s="61"/>
    </row>
    <row r="21" ht="15.75" customHeight="1" spans="1:26">
      <c r="A21" s="72"/>
      <c r="B21" s="72"/>
      <c r="C21" s="72"/>
      <c r="D21" s="72"/>
      <c r="E21" s="72"/>
      <c r="F21" s="72"/>
      <c r="G21" s="72"/>
      <c r="H21" s="72"/>
      <c r="I21" s="72"/>
      <c r="J21" s="72"/>
      <c r="K21" s="72"/>
      <c r="L21" s="72"/>
      <c r="M21" s="73"/>
      <c r="N21" s="74"/>
      <c r="O21" s="60"/>
      <c r="P21" s="60"/>
      <c r="Q21" s="60"/>
      <c r="R21" s="60"/>
      <c r="S21" s="60"/>
      <c r="T21" s="60"/>
      <c r="U21" s="60"/>
      <c r="V21" s="60"/>
      <c r="W21" s="60"/>
      <c r="X21" s="60"/>
      <c r="Y21" s="60"/>
      <c r="Z21" s="61"/>
    </row>
    <row r="22" ht="15.75" customHeight="1" spans="1:26">
      <c r="A22" s="80" t="s">
        <v>161</v>
      </c>
      <c r="B22" s="88"/>
      <c r="C22" s="88"/>
      <c r="D22" s="88"/>
      <c r="E22" s="88"/>
      <c r="F22" s="88"/>
      <c r="G22" s="88"/>
      <c r="H22" s="88"/>
      <c r="I22" s="88"/>
      <c r="J22" s="88"/>
      <c r="K22" s="88"/>
      <c r="L22" s="88"/>
      <c r="M22" s="89"/>
      <c r="N22" s="83"/>
      <c r="O22" s="60"/>
      <c r="P22" s="60"/>
      <c r="Q22" s="60"/>
      <c r="R22" s="60"/>
      <c r="S22" s="60"/>
      <c r="T22" s="60"/>
      <c r="U22" s="60"/>
      <c r="V22" s="60"/>
      <c r="W22" s="60"/>
      <c r="X22" s="60"/>
      <c r="Y22" s="60"/>
      <c r="Z22" s="61"/>
    </row>
    <row r="23" ht="15.75" customHeight="1" spans="1:26">
      <c r="A23" s="93" t="s">
        <v>162</v>
      </c>
      <c r="B23" s="97">
        <v>0</v>
      </c>
      <c r="C23" s="97">
        <v>0</v>
      </c>
      <c r="D23" s="97">
        <v>0</v>
      </c>
      <c r="E23" s="97">
        <v>0</v>
      </c>
      <c r="F23" s="97">
        <v>0</v>
      </c>
      <c r="G23" s="97">
        <v>0</v>
      </c>
      <c r="H23" s="97">
        <v>0</v>
      </c>
      <c r="I23" s="97">
        <v>0</v>
      </c>
      <c r="J23" s="97">
        <v>0</v>
      </c>
      <c r="K23" s="97">
        <v>0</v>
      </c>
      <c r="L23" s="97">
        <v>0</v>
      </c>
      <c r="M23" s="98">
        <v>0</v>
      </c>
      <c r="N23" s="74">
        <f>M23</f>
        <v>0</v>
      </c>
      <c r="O23" s="60"/>
      <c r="P23" s="60"/>
      <c r="Q23" s="60"/>
      <c r="R23" s="60"/>
      <c r="S23" s="60"/>
      <c r="T23" s="60"/>
      <c r="U23" s="60"/>
      <c r="V23" s="60"/>
      <c r="W23" s="60"/>
      <c r="X23" s="60"/>
      <c r="Y23" s="60"/>
      <c r="Z23" s="61"/>
    </row>
    <row r="24" ht="15.75" customHeight="1" spans="1:26">
      <c r="A24" s="84" t="s">
        <v>163</v>
      </c>
      <c r="B24" s="96">
        <v>0</v>
      </c>
      <c r="C24" s="96">
        <v>0</v>
      </c>
      <c r="D24" s="96">
        <v>0</v>
      </c>
      <c r="E24" s="96">
        <v>0</v>
      </c>
      <c r="F24" s="96">
        <v>0</v>
      </c>
      <c r="G24" s="96">
        <v>0</v>
      </c>
      <c r="H24" s="96">
        <v>0</v>
      </c>
      <c r="I24" s="96">
        <v>0</v>
      </c>
      <c r="J24" s="96">
        <v>0</v>
      </c>
      <c r="K24" s="96">
        <v>0</v>
      </c>
      <c r="L24" s="96">
        <v>0</v>
      </c>
      <c r="M24" s="99">
        <v>0</v>
      </c>
      <c r="N24" s="92">
        <f>M24</f>
        <v>0</v>
      </c>
      <c r="O24" s="60"/>
      <c r="P24" s="60"/>
      <c r="Q24" s="60"/>
      <c r="R24" s="60"/>
      <c r="S24" s="60"/>
      <c r="T24" s="60"/>
      <c r="U24" s="60"/>
      <c r="V24" s="60"/>
      <c r="W24" s="60"/>
      <c r="X24" s="60"/>
      <c r="Y24" s="60"/>
      <c r="Z24" s="61"/>
    </row>
    <row r="25" ht="15.75" customHeight="1" spans="1:26">
      <c r="A25" s="93" t="s">
        <v>164</v>
      </c>
      <c r="B25" s="97">
        <v>0</v>
      </c>
      <c r="C25" s="97">
        <v>0</v>
      </c>
      <c r="D25" s="97">
        <v>0</v>
      </c>
      <c r="E25" s="97">
        <v>0</v>
      </c>
      <c r="F25" s="97">
        <v>0</v>
      </c>
      <c r="G25" s="97">
        <v>0</v>
      </c>
      <c r="H25" s="97">
        <v>0</v>
      </c>
      <c r="I25" s="97">
        <v>0</v>
      </c>
      <c r="J25" s="97">
        <v>0</v>
      </c>
      <c r="K25" s="97">
        <v>0</v>
      </c>
      <c r="L25" s="97">
        <v>0</v>
      </c>
      <c r="M25" s="98">
        <v>0</v>
      </c>
      <c r="N25" s="74">
        <f>M25</f>
        <v>0</v>
      </c>
      <c r="O25" s="60"/>
      <c r="P25" s="60"/>
      <c r="Q25" s="60"/>
      <c r="R25" s="60"/>
      <c r="S25" s="60"/>
      <c r="T25" s="60"/>
      <c r="U25" s="60"/>
      <c r="V25" s="60"/>
      <c r="W25" s="60"/>
      <c r="X25" s="60"/>
      <c r="Y25" s="60"/>
      <c r="Z25" s="61"/>
    </row>
    <row r="26" ht="15.75" customHeight="1" spans="1:26">
      <c r="A26" s="84" t="s">
        <v>165</v>
      </c>
      <c r="B26" s="90">
        <f>B8</f>
        <v>185000</v>
      </c>
      <c r="C26" s="90">
        <f t="shared" ref="C26:M26" si="3">B27</f>
        <v>177142.5</v>
      </c>
      <c r="D26" s="90">
        <f t="shared" si="3"/>
        <v>169285</v>
      </c>
      <c r="E26" s="90">
        <f t="shared" si="3"/>
        <v>161427.5</v>
      </c>
      <c r="F26" s="90">
        <f t="shared" si="3"/>
        <v>153570</v>
      </c>
      <c r="G26" s="90">
        <f t="shared" si="3"/>
        <v>151135.5</v>
      </c>
      <c r="H26" s="90">
        <f t="shared" si="3"/>
        <v>129428</v>
      </c>
      <c r="I26" s="90">
        <f t="shared" si="3"/>
        <v>61658.5</v>
      </c>
      <c r="J26" s="90">
        <f t="shared" si="3"/>
        <v>50951</v>
      </c>
      <c r="K26" s="90">
        <f t="shared" si="3"/>
        <v>-178156.5</v>
      </c>
      <c r="L26" s="90">
        <f t="shared" si="3"/>
        <v>-199064</v>
      </c>
      <c r="M26" s="91">
        <f t="shared" si="3"/>
        <v>-204412.253424658</v>
      </c>
      <c r="N26" s="92">
        <f>M26</f>
        <v>-204412.253424658</v>
      </c>
      <c r="O26" s="60"/>
      <c r="P26" s="60"/>
      <c r="Q26" s="60"/>
      <c r="R26" s="60"/>
      <c r="S26" s="60"/>
      <c r="T26" s="60"/>
      <c r="U26" s="60"/>
      <c r="V26" s="60"/>
      <c r="W26" s="60"/>
      <c r="X26" s="60"/>
      <c r="Y26" s="60"/>
      <c r="Z26" s="61"/>
    </row>
    <row r="27" ht="15.75" customHeight="1" spans="1:26">
      <c r="A27" s="80" t="s">
        <v>166</v>
      </c>
      <c r="B27" s="88">
        <f t="shared" ref="B27:M27" si="4">(B12-B20+B23+B24+B25)+B26</f>
        <v>177142.5</v>
      </c>
      <c r="C27" s="88">
        <f t="shared" si="4"/>
        <v>169285</v>
      </c>
      <c r="D27" s="88">
        <f t="shared" si="4"/>
        <v>161427.5</v>
      </c>
      <c r="E27" s="88">
        <f t="shared" si="4"/>
        <v>153570</v>
      </c>
      <c r="F27" s="88">
        <f t="shared" si="4"/>
        <v>151135.5</v>
      </c>
      <c r="G27" s="88">
        <f t="shared" si="4"/>
        <v>129428</v>
      </c>
      <c r="H27" s="88">
        <f t="shared" si="4"/>
        <v>61658.5</v>
      </c>
      <c r="I27" s="88">
        <f t="shared" si="4"/>
        <v>50951</v>
      </c>
      <c r="J27" s="88">
        <f t="shared" si="4"/>
        <v>-178156.5</v>
      </c>
      <c r="K27" s="88">
        <f t="shared" si="4"/>
        <v>-199064</v>
      </c>
      <c r="L27" s="88">
        <f t="shared" si="4"/>
        <v>-204412.253424658</v>
      </c>
      <c r="M27" s="89">
        <f t="shared" si="4"/>
        <v>-211010.506849315</v>
      </c>
      <c r="N27" s="100">
        <f>M27</f>
        <v>-211010.506849315</v>
      </c>
      <c r="O27" s="60"/>
      <c r="P27" s="60"/>
      <c r="Q27" s="60"/>
      <c r="R27" s="60"/>
      <c r="S27" s="60"/>
      <c r="T27" s="60"/>
      <c r="U27" s="60"/>
      <c r="V27" s="60"/>
      <c r="W27" s="60"/>
      <c r="X27" s="60"/>
      <c r="Y27" s="60"/>
      <c r="Z27" s="61"/>
    </row>
    <row r="28" ht="15.75" customHeight="1" spans="1:26">
      <c r="A28" s="101"/>
      <c r="B28" s="102"/>
      <c r="C28" s="102"/>
      <c r="D28" s="102"/>
      <c r="E28" s="102"/>
      <c r="F28" s="102"/>
      <c r="G28" s="102"/>
      <c r="H28" s="102"/>
      <c r="I28" s="102"/>
      <c r="J28" s="102"/>
      <c r="K28" s="102"/>
      <c r="L28" s="102"/>
      <c r="M28" s="102"/>
      <c r="N28" s="60"/>
      <c r="O28" s="60"/>
      <c r="P28" s="60"/>
      <c r="Q28" s="60"/>
      <c r="R28" s="60"/>
      <c r="S28" s="60"/>
      <c r="T28" s="60"/>
      <c r="U28" s="60"/>
      <c r="V28" s="60"/>
      <c r="W28" s="60"/>
      <c r="X28" s="60"/>
      <c r="Y28" s="60"/>
      <c r="Z28" s="61"/>
    </row>
    <row r="29" ht="15.75" customHeight="1" spans="1:26">
      <c r="A29" s="59"/>
      <c r="B29" s="60"/>
      <c r="C29" s="60"/>
      <c r="D29" s="60"/>
      <c r="E29" s="60"/>
      <c r="F29" s="60"/>
      <c r="G29" s="60"/>
      <c r="H29" s="60"/>
      <c r="I29" s="60"/>
      <c r="J29" s="60"/>
      <c r="K29" s="60"/>
      <c r="L29" s="60"/>
      <c r="M29" s="60"/>
      <c r="N29" s="60"/>
      <c r="O29" s="60"/>
      <c r="P29" s="60"/>
      <c r="Q29" s="60"/>
      <c r="R29" s="60"/>
      <c r="S29" s="60"/>
      <c r="T29" s="60"/>
      <c r="U29" s="60"/>
      <c r="V29" s="60"/>
      <c r="W29" s="60"/>
      <c r="X29" s="60"/>
      <c r="Y29" s="60"/>
      <c r="Z29" s="61"/>
    </row>
    <row r="30" ht="15.75" customHeight="1" spans="1:26">
      <c r="A30" s="59"/>
      <c r="B30" s="60"/>
      <c r="C30" s="60"/>
      <c r="D30" s="60"/>
      <c r="E30" s="60"/>
      <c r="F30" s="60"/>
      <c r="G30" s="60"/>
      <c r="H30" s="60"/>
      <c r="I30" s="60"/>
      <c r="J30" s="60"/>
      <c r="K30" s="60"/>
      <c r="L30" s="60"/>
      <c r="M30" s="60"/>
      <c r="N30" s="60"/>
      <c r="O30" s="60"/>
      <c r="P30" s="60"/>
      <c r="Q30" s="60"/>
      <c r="R30" s="60"/>
      <c r="S30" s="60"/>
      <c r="T30" s="60"/>
      <c r="U30" s="60"/>
      <c r="V30" s="60"/>
      <c r="W30" s="60"/>
      <c r="X30" s="60"/>
      <c r="Y30" s="60"/>
      <c r="Z30" s="61"/>
    </row>
    <row r="31" ht="15.75" customHeight="1" spans="1:26">
      <c r="A31" s="59"/>
      <c r="B31" s="60"/>
      <c r="C31" s="60"/>
      <c r="D31" s="60"/>
      <c r="E31" s="60"/>
      <c r="F31" s="60"/>
      <c r="G31" s="60"/>
      <c r="H31" s="60"/>
      <c r="I31" s="60"/>
      <c r="J31" s="60"/>
      <c r="K31" s="60"/>
      <c r="L31" s="60"/>
      <c r="M31" s="60"/>
      <c r="N31" s="60"/>
      <c r="O31" s="60"/>
      <c r="P31" s="60"/>
      <c r="Q31" s="60"/>
      <c r="R31" s="60"/>
      <c r="S31" s="60"/>
      <c r="T31" s="60"/>
      <c r="U31" s="60"/>
      <c r="V31" s="60"/>
      <c r="W31" s="60"/>
      <c r="X31" s="60"/>
      <c r="Y31" s="60"/>
      <c r="Z31" s="61"/>
    </row>
    <row r="32" ht="15.75" customHeight="1" spans="1:26">
      <c r="A32" s="59"/>
      <c r="B32" s="60"/>
      <c r="C32" s="60"/>
      <c r="D32" s="60"/>
      <c r="E32" s="60"/>
      <c r="F32" s="60"/>
      <c r="G32" s="60"/>
      <c r="H32" s="60"/>
      <c r="I32" s="60"/>
      <c r="J32" s="60"/>
      <c r="K32" s="60"/>
      <c r="L32" s="60"/>
      <c r="M32" s="60"/>
      <c r="N32" s="60"/>
      <c r="O32" s="60"/>
      <c r="P32" s="60"/>
      <c r="Q32" s="60"/>
      <c r="R32" s="60"/>
      <c r="S32" s="60"/>
      <c r="T32" s="60"/>
      <c r="U32" s="60"/>
      <c r="V32" s="60"/>
      <c r="W32" s="60"/>
      <c r="X32" s="60"/>
      <c r="Y32" s="60"/>
      <c r="Z32" s="61"/>
    </row>
    <row r="33" ht="15.75" customHeight="1" spans="1:26">
      <c r="A33" s="59"/>
      <c r="B33" s="60"/>
      <c r="C33" s="60"/>
      <c r="D33" s="60"/>
      <c r="E33" s="60"/>
      <c r="F33" s="60"/>
      <c r="G33" s="60"/>
      <c r="H33" s="60"/>
      <c r="I33" s="60"/>
      <c r="J33" s="60"/>
      <c r="K33" s="60"/>
      <c r="L33" s="60"/>
      <c r="M33" s="60"/>
      <c r="N33" s="60"/>
      <c r="O33" s="60"/>
      <c r="P33" s="60"/>
      <c r="Q33" s="60"/>
      <c r="R33" s="60"/>
      <c r="S33" s="60"/>
      <c r="T33" s="60"/>
      <c r="U33" s="60"/>
      <c r="V33" s="60"/>
      <c r="W33" s="60"/>
      <c r="X33" s="60"/>
      <c r="Y33" s="60"/>
      <c r="Z33" s="61"/>
    </row>
    <row r="34" ht="15.75" customHeight="1" spans="1:26">
      <c r="A34" s="59"/>
      <c r="B34" s="60"/>
      <c r="C34" s="60"/>
      <c r="D34" s="60"/>
      <c r="E34" s="60"/>
      <c r="F34" s="60"/>
      <c r="G34" s="60"/>
      <c r="H34" s="60"/>
      <c r="I34" s="60"/>
      <c r="J34" s="60"/>
      <c r="K34" s="60"/>
      <c r="L34" s="60"/>
      <c r="M34" s="60"/>
      <c r="N34" s="60"/>
      <c r="O34" s="60"/>
      <c r="P34" s="60"/>
      <c r="Q34" s="60"/>
      <c r="R34" s="60"/>
      <c r="S34" s="60"/>
      <c r="T34" s="60"/>
      <c r="U34" s="60"/>
      <c r="V34" s="60"/>
      <c r="W34" s="60"/>
      <c r="X34" s="60"/>
      <c r="Y34" s="60"/>
      <c r="Z34" s="61"/>
    </row>
    <row r="35" ht="15.75" customHeight="1" spans="1:26">
      <c r="A35" s="59"/>
      <c r="B35" s="60"/>
      <c r="C35" s="60"/>
      <c r="D35" s="60"/>
      <c r="E35" s="60"/>
      <c r="F35" s="60"/>
      <c r="G35" s="60"/>
      <c r="H35" s="60"/>
      <c r="I35" s="60"/>
      <c r="J35" s="60"/>
      <c r="K35" s="60"/>
      <c r="L35" s="60"/>
      <c r="M35" s="60"/>
      <c r="N35" s="60"/>
      <c r="O35" s="60"/>
      <c r="P35" s="60"/>
      <c r="Q35" s="60"/>
      <c r="R35" s="60"/>
      <c r="S35" s="60"/>
      <c r="T35" s="60"/>
      <c r="U35" s="60"/>
      <c r="V35" s="60"/>
      <c r="W35" s="60"/>
      <c r="X35" s="60"/>
      <c r="Y35" s="60"/>
      <c r="Z35" s="61"/>
    </row>
    <row r="36" ht="15.75" customHeight="1" spans="1:26">
      <c r="A36" s="59"/>
      <c r="B36" s="60"/>
      <c r="C36" s="60"/>
      <c r="D36" s="60"/>
      <c r="E36" s="60"/>
      <c r="F36" s="60"/>
      <c r="G36" s="60"/>
      <c r="H36" s="60"/>
      <c r="I36" s="60"/>
      <c r="J36" s="60"/>
      <c r="K36" s="60"/>
      <c r="L36" s="60"/>
      <c r="M36" s="60"/>
      <c r="N36" s="60"/>
      <c r="O36" s="60"/>
      <c r="P36" s="60"/>
      <c r="Q36" s="60"/>
      <c r="R36" s="60"/>
      <c r="S36" s="60"/>
      <c r="T36" s="60"/>
      <c r="U36" s="60"/>
      <c r="V36" s="60"/>
      <c r="W36" s="60"/>
      <c r="X36" s="60"/>
      <c r="Y36" s="60"/>
      <c r="Z36" s="61"/>
    </row>
    <row r="37" ht="15.75" customHeight="1" spans="1:26">
      <c r="A37" s="59"/>
      <c r="B37" s="60"/>
      <c r="C37" s="60"/>
      <c r="D37" s="60"/>
      <c r="E37" s="60"/>
      <c r="F37" s="60"/>
      <c r="G37" s="60"/>
      <c r="H37" s="60"/>
      <c r="I37" s="60"/>
      <c r="J37" s="60"/>
      <c r="K37" s="60"/>
      <c r="L37" s="60"/>
      <c r="M37" s="60"/>
      <c r="N37" s="60"/>
      <c r="O37" s="60"/>
      <c r="P37" s="60"/>
      <c r="Q37" s="60"/>
      <c r="R37" s="60"/>
      <c r="S37" s="60"/>
      <c r="T37" s="60"/>
      <c r="U37" s="60"/>
      <c r="V37" s="60"/>
      <c r="W37" s="60"/>
      <c r="X37" s="60"/>
      <c r="Y37" s="60"/>
      <c r="Z37" s="61"/>
    </row>
    <row r="38" ht="15.75" customHeight="1" spans="1:26">
      <c r="A38" s="59"/>
      <c r="B38" s="60"/>
      <c r="C38" s="60"/>
      <c r="D38" s="60"/>
      <c r="E38" s="60"/>
      <c r="F38" s="60"/>
      <c r="G38" s="60"/>
      <c r="H38" s="60"/>
      <c r="I38" s="60"/>
      <c r="J38" s="60"/>
      <c r="K38" s="60"/>
      <c r="L38" s="60"/>
      <c r="M38" s="60"/>
      <c r="N38" s="60"/>
      <c r="O38" s="60"/>
      <c r="P38" s="60"/>
      <c r="Q38" s="60"/>
      <c r="R38" s="60"/>
      <c r="S38" s="60"/>
      <c r="T38" s="60"/>
      <c r="U38" s="60"/>
      <c r="V38" s="60"/>
      <c r="W38" s="60"/>
      <c r="X38" s="60"/>
      <c r="Y38" s="60"/>
      <c r="Z38" s="61"/>
    </row>
    <row r="39" ht="15.75" customHeight="1" spans="1:26">
      <c r="A39" s="59"/>
      <c r="B39" s="60"/>
      <c r="C39" s="60"/>
      <c r="D39" s="60"/>
      <c r="E39" s="60"/>
      <c r="F39" s="60"/>
      <c r="G39" s="60"/>
      <c r="H39" s="60"/>
      <c r="I39" s="60"/>
      <c r="J39" s="60"/>
      <c r="K39" s="60"/>
      <c r="L39" s="60"/>
      <c r="M39" s="60"/>
      <c r="N39" s="60"/>
      <c r="O39" s="60"/>
      <c r="P39" s="60"/>
      <c r="Q39" s="60"/>
      <c r="R39" s="60"/>
      <c r="S39" s="60"/>
      <c r="T39" s="60"/>
      <c r="U39" s="60"/>
      <c r="V39" s="60"/>
      <c r="W39" s="60"/>
      <c r="X39" s="60"/>
      <c r="Y39" s="60"/>
      <c r="Z39" s="61"/>
    </row>
    <row r="40" ht="15.75" customHeight="1" spans="1:26">
      <c r="A40" s="59"/>
      <c r="B40" s="60"/>
      <c r="C40" s="60"/>
      <c r="D40" s="60"/>
      <c r="E40" s="60"/>
      <c r="F40" s="60"/>
      <c r="G40" s="60"/>
      <c r="H40" s="60"/>
      <c r="I40" s="60"/>
      <c r="J40" s="60"/>
      <c r="K40" s="60"/>
      <c r="L40" s="60"/>
      <c r="M40" s="60"/>
      <c r="N40" s="60"/>
      <c r="O40" s="60"/>
      <c r="P40" s="60"/>
      <c r="Q40" s="60"/>
      <c r="R40" s="60"/>
      <c r="S40" s="60"/>
      <c r="T40" s="60"/>
      <c r="U40" s="60"/>
      <c r="V40" s="60"/>
      <c r="W40" s="60"/>
      <c r="X40" s="60"/>
      <c r="Y40" s="60"/>
      <c r="Z40" s="61"/>
    </row>
    <row r="41" ht="15.75" customHeight="1" spans="1:26">
      <c r="A41" s="59"/>
      <c r="B41" s="60"/>
      <c r="C41" s="60"/>
      <c r="D41" s="60"/>
      <c r="E41" s="60"/>
      <c r="F41" s="60"/>
      <c r="G41" s="60"/>
      <c r="H41" s="60"/>
      <c r="I41" s="60"/>
      <c r="J41" s="60"/>
      <c r="K41" s="60"/>
      <c r="L41" s="60"/>
      <c r="M41" s="60"/>
      <c r="N41" s="60"/>
      <c r="O41" s="60"/>
      <c r="P41" s="60"/>
      <c r="Q41" s="60"/>
      <c r="R41" s="60"/>
      <c r="S41" s="60"/>
      <c r="T41" s="60"/>
      <c r="U41" s="60"/>
      <c r="V41" s="60"/>
      <c r="W41" s="60"/>
      <c r="X41" s="60"/>
      <c r="Y41" s="60"/>
      <c r="Z41" s="61"/>
    </row>
    <row r="42" ht="15.75" customHeight="1" spans="1:26">
      <c r="A42" s="59"/>
      <c r="B42" s="60"/>
      <c r="C42" s="60"/>
      <c r="D42" s="60"/>
      <c r="E42" s="60"/>
      <c r="F42" s="60"/>
      <c r="G42" s="60"/>
      <c r="H42" s="60"/>
      <c r="I42" s="60"/>
      <c r="J42" s="60"/>
      <c r="K42" s="60"/>
      <c r="L42" s="60"/>
      <c r="M42" s="60"/>
      <c r="N42" s="60"/>
      <c r="O42" s="60"/>
      <c r="P42" s="60"/>
      <c r="Q42" s="60"/>
      <c r="R42" s="60"/>
      <c r="S42" s="60"/>
      <c r="T42" s="60"/>
      <c r="U42" s="60"/>
      <c r="V42" s="60"/>
      <c r="W42" s="60"/>
      <c r="X42" s="60"/>
      <c r="Y42" s="60"/>
      <c r="Z42" s="61"/>
    </row>
    <row r="43" ht="15.75" customHeight="1" spans="1:26">
      <c r="A43" s="59"/>
      <c r="B43" s="60"/>
      <c r="C43" s="60"/>
      <c r="D43" s="60"/>
      <c r="E43" s="60"/>
      <c r="F43" s="60"/>
      <c r="G43" s="60"/>
      <c r="H43" s="60"/>
      <c r="I43" s="60"/>
      <c r="J43" s="60"/>
      <c r="K43" s="60"/>
      <c r="L43" s="60"/>
      <c r="M43" s="60"/>
      <c r="N43" s="60"/>
      <c r="O43" s="60"/>
      <c r="P43" s="60"/>
      <c r="Q43" s="60"/>
      <c r="R43" s="60"/>
      <c r="S43" s="60"/>
      <c r="T43" s="60"/>
      <c r="U43" s="60"/>
      <c r="V43" s="60"/>
      <c r="W43" s="60"/>
      <c r="X43" s="60"/>
      <c r="Y43" s="60"/>
      <c r="Z43" s="61"/>
    </row>
    <row r="44" ht="15.75" customHeight="1" spans="1:26">
      <c r="A44" s="59"/>
      <c r="B44" s="60"/>
      <c r="C44" s="60"/>
      <c r="D44" s="60"/>
      <c r="E44" s="60"/>
      <c r="F44" s="60"/>
      <c r="G44" s="60"/>
      <c r="H44" s="60"/>
      <c r="I44" s="60"/>
      <c r="J44" s="60"/>
      <c r="K44" s="60"/>
      <c r="L44" s="60"/>
      <c r="M44" s="60"/>
      <c r="N44" s="60"/>
      <c r="O44" s="60"/>
      <c r="P44" s="60"/>
      <c r="Q44" s="60"/>
      <c r="R44" s="60"/>
      <c r="S44" s="60"/>
      <c r="T44" s="60"/>
      <c r="U44" s="60"/>
      <c r="V44" s="60"/>
      <c r="W44" s="60"/>
      <c r="X44" s="60"/>
      <c r="Y44" s="60"/>
      <c r="Z44" s="61"/>
    </row>
    <row r="45" ht="15.75" customHeight="1" spans="1:26">
      <c r="A45" s="59"/>
      <c r="B45" s="60"/>
      <c r="C45" s="60"/>
      <c r="D45" s="60"/>
      <c r="E45" s="60"/>
      <c r="F45" s="60"/>
      <c r="G45" s="60"/>
      <c r="H45" s="60"/>
      <c r="I45" s="60"/>
      <c r="J45" s="60"/>
      <c r="K45" s="60"/>
      <c r="L45" s="60"/>
      <c r="M45" s="60"/>
      <c r="N45" s="60"/>
      <c r="O45" s="60"/>
      <c r="P45" s="60"/>
      <c r="Q45" s="60"/>
      <c r="R45" s="60"/>
      <c r="S45" s="60"/>
      <c r="T45" s="60"/>
      <c r="U45" s="60"/>
      <c r="V45" s="60"/>
      <c r="W45" s="60"/>
      <c r="X45" s="60"/>
      <c r="Y45" s="60"/>
      <c r="Z45" s="61"/>
    </row>
    <row r="46" ht="15.75" customHeight="1" spans="1:26">
      <c r="A46" s="59"/>
      <c r="B46" s="60"/>
      <c r="C46" s="60"/>
      <c r="D46" s="60"/>
      <c r="E46" s="60"/>
      <c r="F46" s="60"/>
      <c r="G46" s="60"/>
      <c r="H46" s="60"/>
      <c r="I46" s="60"/>
      <c r="J46" s="60"/>
      <c r="K46" s="60"/>
      <c r="L46" s="60"/>
      <c r="M46" s="60"/>
      <c r="N46" s="60"/>
      <c r="O46" s="60"/>
      <c r="P46" s="60"/>
      <c r="Q46" s="60"/>
      <c r="R46" s="60"/>
      <c r="S46" s="60"/>
      <c r="T46" s="60"/>
      <c r="U46" s="60"/>
      <c r="V46" s="60"/>
      <c r="W46" s="60"/>
      <c r="X46" s="60"/>
      <c r="Y46" s="60"/>
      <c r="Z46" s="61"/>
    </row>
    <row r="47" ht="15.75" customHeight="1" spans="1:26">
      <c r="A47" s="59"/>
      <c r="B47" s="60"/>
      <c r="C47" s="60"/>
      <c r="D47" s="60"/>
      <c r="E47" s="60"/>
      <c r="F47" s="60"/>
      <c r="G47" s="60"/>
      <c r="H47" s="60"/>
      <c r="I47" s="60"/>
      <c r="J47" s="60"/>
      <c r="K47" s="60"/>
      <c r="L47" s="60"/>
      <c r="M47" s="60"/>
      <c r="N47" s="60"/>
      <c r="O47" s="60"/>
      <c r="P47" s="60"/>
      <c r="Q47" s="60"/>
      <c r="R47" s="60"/>
      <c r="S47" s="60"/>
      <c r="T47" s="60"/>
      <c r="U47" s="60"/>
      <c r="V47" s="60"/>
      <c r="W47" s="60"/>
      <c r="X47" s="60"/>
      <c r="Y47" s="60"/>
      <c r="Z47" s="61"/>
    </row>
    <row r="48" ht="15.75" customHeight="1" spans="1:26">
      <c r="A48" s="59"/>
      <c r="B48" s="60"/>
      <c r="C48" s="60"/>
      <c r="D48" s="60"/>
      <c r="E48" s="60"/>
      <c r="F48" s="60"/>
      <c r="G48" s="60"/>
      <c r="H48" s="60"/>
      <c r="I48" s="60"/>
      <c r="J48" s="60"/>
      <c r="K48" s="60"/>
      <c r="L48" s="60"/>
      <c r="M48" s="60"/>
      <c r="N48" s="60"/>
      <c r="O48" s="60"/>
      <c r="P48" s="60"/>
      <c r="Q48" s="60"/>
      <c r="R48" s="60"/>
      <c r="S48" s="60"/>
      <c r="T48" s="60"/>
      <c r="U48" s="60"/>
      <c r="V48" s="60"/>
      <c r="W48" s="60"/>
      <c r="X48" s="60"/>
      <c r="Y48" s="60"/>
      <c r="Z48" s="61"/>
    </row>
    <row r="49" ht="15.75" customHeight="1" spans="1:26">
      <c r="A49" s="59"/>
      <c r="B49" s="60"/>
      <c r="C49" s="60"/>
      <c r="D49" s="60"/>
      <c r="E49" s="60"/>
      <c r="F49" s="60"/>
      <c r="G49" s="60"/>
      <c r="H49" s="60"/>
      <c r="I49" s="60"/>
      <c r="J49" s="60"/>
      <c r="K49" s="60"/>
      <c r="L49" s="60"/>
      <c r="M49" s="60"/>
      <c r="N49" s="60"/>
      <c r="O49" s="60"/>
      <c r="P49" s="60"/>
      <c r="Q49" s="60"/>
      <c r="R49" s="60"/>
      <c r="S49" s="60"/>
      <c r="T49" s="60"/>
      <c r="U49" s="60"/>
      <c r="V49" s="60"/>
      <c r="W49" s="60"/>
      <c r="X49" s="60"/>
      <c r="Y49" s="60"/>
      <c r="Z49" s="61"/>
    </row>
    <row r="50" ht="15.75" customHeight="1" spans="1:26">
      <c r="A50" s="59"/>
      <c r="B50" s="60"/>
      <c r="C50" s="60"/>
      <c r="D50" s="60"/>
      <c r="E50" s="60"/>
      <c r="F50" s="60"/>
      <c r="G50" s="60"/>
      <c r="H50" s="60"/>
      <c r="I50" s="60"/>
      <c r="J50" s="60"/>
      <c r="K50" s="60"/>
      <c r="L50" s="60"/>
      <c r="M50" s="60"/>
      <c r="N50" s="60"/>
      <c r="O50" s="60"/>
      <c r="P50" s="60"/>
      <c r="Q50" s="60"/>
      <c r="R50" s="60"/>
      <c r="S50" s="60"/>
      <c r="T50" s="60"/>
      <c r="U50" s="60"/>
      <c r="V50" s="60"/>
      <c r="W50" s="60"/>
      <c r="X50" s="60"/>
      <c r="Y50" s="60"/>
      <c r="Z50" s="61"/>
    </row>
    <row r="51" ht="15.75" customHeight="1" spans="1:26">
      <c r="A51" s="59"/>
      <c r="B51" s="60"/>
      <c r="C51" s="60"/>
      <c r="D51" s="60"/>
      <c r="E51" s="60"/>
      <c r="F51" s="60"/>
      <c r="G51" s="60"/>
      <c r="H51" s="60"/>
      <c r="I51" s="60"/>
      <c r="J51" s="60"/>
      <c r="K51" s="60"/>
      <c r="L51" s="60"/>
      <c r="M51" s="60"/>
      <c r="N51" s="60"/>
      <c r="O51" s="60"/>
      <c r="P51" s="60"/>
      <c r="Q51" s="60"/>
      <c r="R51" s="60"/>
      <c r="S51" s="60"/>
      <c r="T51" s="60"/>
      <c r="U51" s="60"/>
      <c r="V51" s="60"/>
      <c r="W51" s="60"/>
      <c r="X51" s="60"/>
      <c r="Y51" s="60"/>
      <c r="Z51" s="61"/>
    </row>
    <row r="52" ht="15.75" customHeight="1" spans="1:26">
      <c r="A52" s="59"/>
      <c r="B52" s="60"/>
      <c r="C52" s="60"/>
      <c r="D52" s="60"/>
      <c r="E52" s="60"/>
      <c r="F52" s="60"/>
      <c r="G52" s="60"/>
      <c r="H52" s="60"/>
      <c r="I52" s="60"/>
      <c r="J52" s="60"/>
      <c r="K52" s="60"/>
      <c r="L52" s="60"/>
      <c r="M52" s="60"/>
      <c r="N52" s="60"/>
      <c r="O52" s="60"/>
      <c r="P52" s="60"/>
      <c r="Q52" s="60"/>
      <c r="R52" s="60"/>
      <c r="S52" s="60"/>
      <c r="T52" s="60"/>
      <c r="U52" s="60"/>
      <c r="V52" s="60"/>
      <c r="W52" s="60"/>
      <c r="X52" s="60"/>
      <c r="Y52" s="60"/>
      <c r="Z52" s="61"/>
    </row>
    <row r="53" ht="15.75" customHeight="1" spans="1:26">
      <c r="A53" s="59"/>
      <c r="B53" s="60"/>
      <c r="C53" s="60"/>
      <c r="D53" s="60"/>
      <c r="E53" s="60"/>
      <c r="F53" s="60"/>
      <c r="G53" s="60"/>
      <c r="H53" s="60"/>
      <c r="I53" s="60"/>
      <c r="J53" s="60"/>
      <c r="K53" s="60"/>
      <c r="L53" s="60"/>
      <c r="M53" s="60"/>
      <c r="N53" s="60"/>
      <c r="O53" s="60"/>
      <c r="P53" s="60"/>
      <c r="Q53" s="60"/>
      <c r="R53" s="60"/>
      <c r="S53" s="60"/>
      <c r="T53" s="60"/>
      <c r="U53" s="60"/>
      <c r="V53" s="60"/>
      <c r="W53" s="60"/>
      <c r="X53" s="60"/>
      <c r="Y53" s="60"/>
      <c r="Z53" s="61"/>
    </row>
    <row r="54" ht="15.75" customHeight="1" spans="1:26">
      <c r="A54" s="59"/>
      <c r="B54" s="60"/>
      <c r="C54" s="60"/>
      <c r="D54" s="60"/>
      <c r="E54" s="60"/>
      <c r="F54" s="60"/>
      <c r="G54" s="60"/>
      <c r="H54" s="60"/>
      <c r="I54" s="60"/>
      <c r="J54" s="60"/>
      <c r="K54" s="60"/>
      <c r="L54" s="60"/>
      <c r="M54" s="60"/>
      <c r="N54" s="60"/>
      <c r="O54" s="60"/>
      <c r="P54" s="60"/>
      <c r="Q54" s="60"/>
      <c r="R54" s="60"/>
      <c r="S54" s="60"/>
      <c r="T54" s="60"/>
      <c r="U54" s="60"/>
      <c r="V54" s="60"/>
      <c r="W54" s="60"/>
      <c r="X54" s="60"/>
      <c r="Y54" s="60"/>
      <c r="Z54" s="61"/>
    </row>
    <row r="55" ht="15.75" customHeight="1" spans="1:26">
      <c r="A55" s="59"/>
      <c r="B55" s="60"/>
      <c r="C55" s="60"/>
      <c r="D55" s="60"/>
      <c r="E55" s="60"/>
      <c r="F55" s="60"/>
      <c r="G55" s="60"/>
      <c r="H55" s="60"/>
      <c r="I55" s="60"/>
      <c r="J55" s="60"/>
      <c r="K55" s="60"/>
      <c r="L55" s="60"/>
      <c r="M55" s="60"/>
      <c r="N55" s="60"/>
      <c r="O55" s="60"/>
      <c r="P55" s="60"/>
      <c r="Q55" s="60"/>
      <c r="R55" s="60"/>
      <c r="S55" s="60"/>
      <c r="T55" s="60"/>
      <c r="U55" s="60"/>
      <c r="V55" s="60"/>
      <c r="W55" s="60"/>
      <c r="X55" s="60"/>
      <c r="Y55" s="60"/>
      <c r="Z55" s="61"/>
    </row>
    <row r="56" ht="15.75" customHeight="1" spans="1:26">
      <c r="A56" s="59"/>
      <c r="B56" s="60"/>
      <c r="C56" s="60"/>
      <c r="D56" s="60"/>
      <c r="E56" s="60"/>
      <c r="F56" s="60"/>
      <c r="G56" s="60"/>
      <c r="H56" s="60"/>
      <c r="I56" s="60"/>
      <c r="J56" s="60"/>
      <c r="K56" s="60"/>
      <c r="L56" s="60"/>
      <c r="M56" s="60"/>
      <c r="N56" s="60"/>
      <c r="O56" s="60"/>
      <c r="P56" s="60"/>
      <c r="Q56" s="60"/>
      <c r="R56" s="60"/>
      <c r="S56" s="60"/>
      <c r="T56" s="60"/>
      <c r="U56" s="60"/>
      <c r="V56" s="60"/>
      <c r="W56" s="60"/>
      <c r="X56" s="60"/>
      <c r="Y56" s="60"/>
      <c r="Z56" s="61"/>
    </row>
    <row r="57" ht="15.75" customHeight="1" spans="1:26">
      <c r="A57" s="59"/>
      <c r="B57" s="60"/>
      <c r="C57" s="60"/>
      <c r="D57" s="60"/>
      <c r="E57" s="60"/>
      <c r="F57" s="60"/>
      <c r="G57" s="60"/>
      <c r="H57" s="60"/>
      <c r="I57" s="60"/>
      <c r="J57" s="60"/>
      <c r="K57" s="60"/>
      <c r="L57" s="60"/>
      <c r="M57" s="60"/>
      <c r="N57" s="60"/>
      <c r="O57" s="60"/>
      <c r="P57" s="60"/>
      <c r="Q57" s="60"/>
      <c r="R57" s="60"/>
      <c r="S57" s="60"/>
      <c r="T57" s="60"/>
      <c r="U57" s="60"/>
      <c r="V57" s="60"/>
      <c r="W57" s="60"/>
      <c r="X57" s="60"/>
      <c r="Y57" s="60"/>
      <c r="Z57" s="61"/>
    </row>
    <row r="58" ht="15.75" customHeight="1" spans="1:26">
      <c r="A58" s="59"/>
      <c r="B58" s="60"/>
      <c r="C58" s="60"/>
      <c r="D58" s="60"/>
      <c r="E58" s="60"/>
      <c r="F58" s="60"/>
      <c r="G58" s="60"/>
      <c r="H58" s="60"/>
      <c r="I58" s="60"/>
      <c r="J58" s="60"/>
      <c r="K58" s="60"/>
      <c r="L58" s="60"/>
      <c r="M58" s="60"/>
      <c r="N58" s="60"/>
      <c r="O58" s="60"/>
      <c r="P58" s="60"/>
      <c r="Q58" s="60"/>
      <c r="R58" s="60"/>
      <c r="S58" s="60"/>
      <c r="T58" s="60"/>
      <c r="U58" s="60"/>
      <c r="V58" s="60"/>
      <c r="W58" s="60"/>
      <c r="X58" s="60"/>
      <c r="Y58" s="60"/>
      <c r="Z58" s="61"/>
    </row>
    <row r="59" ht="15.75" customHeight="1" spans="1:26">
      <c r="A59" s="59"/>
      <c r="B59" s="60"/>
      <c r="C59" s="60"/>
      <c r="D59" s="60"/>
      <c r="E59" s="60"/>
      <c r="F59" s="60"/>
      <c r="G59" s="60"/>
      <c r="H59" s="60"/>
      <c r="I59" s="60"/>
      <c r="J59" s="60"/>
      <c r="K59" s="60"/>
      <c r="L59" s="60"/>
      <c r="M59" s="60"/>
      <c r="N59" s="60"/>
      <c r="O59" s="60"/>
      <c r="P59" s="60"/>
      <c r="Q59" s="60"/>
      <c r="R59" s="60"/>
      <c r="S59" s="60"/>
      <c r="T59" s="60"/>
      <c r="U59" s="60"/>
      <c r="V59" s="60"/>
      <c r="W59" s="60"/>
      <c r="X59" s="60"/>
      <c r="Y59" s="60"/>
      <c r="Z59" s="61"/>
    </row>
    <row r="60" ht="15.75" customHeight="1" spans="1:26">
      <c r="A60" s="59"/>
      <c r="B60" s="60"/>
      <c r="C60" s="60"/>
      <c r="D60" s="60"/>
      <c r="E60" s="60"/>
      <c r="F60" s="60"/>
      <c r="G60" s="60"/>
      <c r="H60" s="60"/>
      <c r="I60" s="60"/>
      <c r="J60" s="60"/>
      <c r="K60" s="60"/>
      <c r="L60" s="60"/>
      <c r="M60" s="60"/>
      <c r="N60" s="60"/>
      <c r="O60" s="60"/>
      <c r="P60" s="60"/>
      <c r="Q60" s="60"/>
      <c r="R60" s="60"/>
      <c r="S60" s="60"/>
      <c r="T60" s="60"/>
      <c r="U60" s="60"/>
      <c r="V60" s="60"/>
      <c r="W60" s="60"/>
      <c r="X60" s="60"/>
      <c r="Y60" s="60"/>
      <c r="Z60" s="61"/>
    </row>
    <row r="61" ht="15.75" customHeight="1" spans="1:26">
      <c r="A61" s="59"/>
      <c r="B61" s="60"/>
      <c r="C61" s="60"/>
      <c r="D61" s="60"/>
      <c r="E61" s="60"/>
      <c r="F61" s="60"/>
      <c r="G61" s="60"/>
      <c r="H61" s="60"/>
      <c r="I61" s="60"/>
      <c r="J61" s="60"/>
      <c r="K61" s="60"/>
      <c r="L61" s="60"/>
      <c r="M61" s="60"/>
      <c r="N61" s="60"/>
      <c r="O61" s="60"/>
      <c r="P61" s="60"/>
      <c r="Q61" s="60"/>
      <c r="R61" s="60"/>
      <c r="S61" s="60"/>
      <c r="T61" s="60"/>
      <c r="U61" s="60"/>
      <c r="V61" s="60"/>
      <c r="W61" s="60"/>
      <c r="X61" s="60"/>
      <c r="Y61" s="60"/>
      <c r="Z61" s="61"/>
    </row>
    <row r="62" ht="15.75" customHeight="1" spans="1:26">
      <c r="A62" s="59"/>
      <c r="B62" s="60"/>
      <c r="C62" s="60"/>
      <c r="D62" s="60"/>
      <c r="E62" s="60"/>
      <c r="F62" s="60"/>
      <c r="G62" s="60"/>
      <c r="H62" s="60"/>
      <c r="I62" s="60"/>
      <c r="J62" s="60"/>
      <c r="K62" s="60"/>
      <c r="L62" s="60"/>
      <c r="M62" s="60"/>
      <c r="N62" s="60"/>
      <c r="O62" s="60"/>
      <c r="P62" s="60"/>
      <c r="Q62" s="60"/>
      <c r="R62" s="60"/>
      <c r="S62" s="60"/>
      <c r="T62" s="60"/>
      <c r="U62" s="60"/>
      <c r="V62" s="60"/>
      <c r="W62" s="60"/>
      <c r="X62" s="60"/>
      <c r="Y62" s="60"/>
      <c r="Z62" s="61"/>
    </row>
    <row r="63" ht="15.75" customHeight="1" spans="1:26">
      <c r="A63" s="59"/>
      <c r="B63" s="60"/>
      <c r="C63" s="60"/>
      <c r="D63" s="60"/>
      <c r="E63" s="60"/>
      <c r="F63" s="60"/>
      <c r="G63" s="60"/>
      <c r="H63" s="60"/>
      <c r="I63" s="60"/>
      <c r="J63" s="60"/>
      <c r="K63" s="60"/>
      <c r="L63" s="60"/>
      <c r="M63" s="60"/>
      <c r="N63" s="60"/>
      <c r="O63" s="60"/>
      <c r="P63" s="60"/>
      <c r="Q63" s="60"/>
      <c r="R63" s="60"/>
      <c r="S63" s="60"/>
      <c r="T63" s="60"/>
      <c r="U63" s="60"/>
      <c r="V63" s="60"/>
      <c r="W63" s="60"/>
      <c r="X63" s="60"/>
      <c r="Y63" s="60"/>
      <c r="Z63" s="61"/>
    </row>
    <row r="64" ht="15.75" customHeight="1" spans="1:26">
      <c r="A64" s="59"/>
      <c r="B64" s="60"/>
      <c r="C64" s="60"/>
      <c r="D64" s="60"/>
      <c r="E64" s="60"/>
      <c r="F64" s="60"/>
      <c r="G64" s="60"/>
      <c r="H64" s="60"/>
      <c r="I64" s="60"/>
      <c r="J64" s="60"/>
      <c r="K64" s="60"/>
      <c r="L64" s="60"/>
      <c r="M64" s="60"/>
      <c r="N64" s="60"/>
      <c r="O64" s="60"/>
      <c r="P64" s="60"/>
      <c r="Q64" s="60"/>
      <c r="R64" s="60"/>
      <c r="S64" s="60"/>
      <c r="T64" s="60"/>
      <c r="U64" s="60"/>
      <c r="V64" s="60"/>
      <c r="W64" s="60"/>
      <c r="X64" s="60"/>
      <c r="Y64" s="60"/>
      <c r="Z64" s="61"/>
    </row>
    <row r="65" ht="15.75" customHeight="1" spans="1:26">
      <c r="A65" s="59"/>
      <c r="B65" s="60"/>
      <c r="C65" s="60"/>
      <c r="D65" s="60"/>
      <c r="E65" s="60"/>
      <c r="F65" s="60"/>
      <c r="G65" s="60"/>
      <c r="H65" s="60"/>
      <c r="I65" s="60"/>
      <c r="J65" s="60"/>
      <c r="K65" s="60"/>
      <c r="L65" s="60"/>
      <c r="M65" s="60"/>
      <c r="N65" s="60"/>
      <c r="O65" s="60"/>
      <c r="P65" s="60"/>
      <c r="Q65" s="60"/>
      <c r="R65" s="60"/>
      <c r="S65" s="60"/>
      <c r="T65" s="60"/>
      <c r="U65" s="60"/>
      <c r="V65" s="60"/>
      <c r="W65" s="60"/>
      <c r="X65" s="60"/>
      <c r="Y65" s="60"/>
      <c r="Z65" s="61"/>
    </row>
    <row r="66" ht="15.75" customHeight="1" spans="1:26">
      <c r="A66" s="59"/>
      <c r="B66" s="60"/>
      <c r="C66" s="60"/>
      <c r="D66" s="60"/>
      <c r="E66" s="60"/>
      <c r="F66" s="60"/>
      <c r="G66" s="60"/>
      <c r="H66" s="60"/>
      <c r="I66" s="60"/>
      <c r="J66" s="60"/>
      <c r="K66" s="60"/>
      <c r="L66" s="60"/>
      <c r="M66" s="60"/>
      <c r="N66" s="60"/>
      <c r="O66" s="60"/>
      <c r="P66" s="60"/>
      <c r="Q66" s="60"/>
      <c r="R66" s="60"/>
      <c r="S66" s="60"/>
      <c r="T66" s="60"/>
      <c r="U66" s="60"/>
      <c r="V66" s="60"/>
      <c r="W66" s="60"/>
      <c r="X66" s="60"/>
      <c r="Y66" s="60"/>
      <c r="Z66" s="61"/>
    </row>
    <row r="67" ht="15.75" customHeight="1" spans="1:26">
      <c r="A67" s="59"/>
      <c r="B67" s="60"/>
      <c r="C67" s="60"/>
      <c r="D67" s="60"/>
      <c r="E67" s="60"/>
      <c r="F67" s="60"/>
      <c r="G67" s="60"/>
      <c r="H67" s="60"/>
      <c r="I67" s="60"/>
      <c r="J67" s="60"/>
      <c r="K67" s="60"/>
      <c r="L67" s="60"/>
      <c r="M67" s="60"/>
      <c r="N67" s="60"/>
      <c r="O67" s="60"/>
      <c r="P67" s="60"/>
      <c r="Q67" s="60"/>
      <c r="R67" s="60"/>
      <c r="S67" s="60"/>
      <c r="T67" s="60"/>
      <c r="U67" s="60"/>
      <c r="V67" s="60"/>
      <c r="W67" s="60"/>
      <c r="X67" s="60"/>
      <c r="Y67" s="60"/>
      <c r="Z67" s="61"/>
    </row>
    <row r="68" ht="15.75" customHeight="1" spans="1:26">
      <c r="A68" s="59"/>
      <c r="B68" s="60"/>
      <c r="C68" s="60"/>
      <c r="D68" s="60"/>
      <c r="E68" s="60"/>
      <c r="F68" s="60"/>
      <c r="G68" s="60"/>
      <c r="H68" s="60"/>
      <c r="I68" s="60"/>
      <c r="J68" s="60"/>
      <c r="K68" s="60"/>
      <c r="L68" s="60"/>
      <c r="M68" s="60"/>
      <c r="N68" s="60"/>
      <c r="O68" s="60"/>
      <c r="P68" s="60"/>
      <c r="Q68" s="60"/>
      <c r="R68" s="60"/>
      <c r="S68" s="60"/>
      <c r="T68" s="60"/>
      <c r="U68" s="60"/>
      <c r="V68" s="60"/>
      <c r="W68" s="60"/>
      <c r="X68" s="60"/>
      <c r="Y68" s="60"/>
      <c r="Z68" s="61"/>
    </row>
    <row r="69" ht="15.75" customHeight="1" spans="1:26">
      <c r="A69" s="59"/>
      <c r="B69" s="60"/>
      <c r="C69" s="60"/>
      <c r="D69" s="60"/>
      <c r="E69" s="60"/>
      <c r="F69" s="60"/>
      <c r="G69" s="60"/>
      <c r="H69" s="60"/>
      <c r="I69" s="60"/>
      <c r="J69" s="60"/>
      <c r="K69" s="60"/>
      <c r="L69" s="60"/>
      <c r="M69" s="60"/>
      <c r="N69" s="60"/>
      <c r="O69" s="60"/>
      <c r="P69" s="60"/>
      <c r="Q69" s="60"/>
      <c r="R69" s="60"/>
      <c r="S69" s="60"/>
      <c r="T69" s="60"/>
      <c r="U69" s="60"/>
      <c r="V69" s="60"/>
      <c r="W69" s="60"/>
      <c r="X69" s="60"/>
      <c r="Y69" s="60"/>
      <c r="Z69" s="61"/>
    </row>
    <row r="70" ht="15.75" customHeight="1" spans="1:26">
      <c r="A70" s="59"/>
      <c r="B70" s="60"/>
      <c r="C70" s="60"/>
      <c r="D70" s="60"/>
      <c r="E70" s="60"/>
      <c r="F70" s="60"/>
      <c r="G70" s="60"/>
      <c r="H70" s="60"/>
      <c r="I70" s="60"/>
      <c r="J70" s="60"/>
      <c r="K70" s="60"/>
      <c r="L70" s="60"/>
      <c r="M70" s="60"/>
      <c r="N70" s="60"/>
      <c r="O70" s="60"/>
      <c r="P70" s="60"/>
      <c r="Q70" s="60"/>
      <c r="R70" s="60"/>
      <c r="S70" s="60"/>
      <c r="T70" s="60"/>
      <c r="U70" s="60"/>
      <c r="V70" s="60"/>
      <c r="W70" s="60"/>
      <c r="X70" s="60"/>
      <c r="Y70" s="60"/>
      <c r="Z70" s="61"/>
    </row>
    <row r="71" ht="15.75" customHeight="1" spans="1:26">
      <c r="A71" s="59"/>
      <c r="B71" s="60"/>
      <c r="C71" s="60"/>
      <c r="D71" s="60"/>
      <c r="E71" s="60"/>
      <c r="F71" s="60"/>
      <c r="G71" s="60"/>
      <c r="H71" s="60"/>
      <c r="I71" s="60"/>
      <c r="J71" s="60"/>
      <c r="K71" s="60"/>
      <c r="L71" s="60"/>
      <c r="M71" s="60"/>
      <c r="N71" s="60"/>
      <c r="O71" s="60"/>
      <c r="P71" s="60"/>
      <c r="Q71" s="60"/>
      <c r="R71" s="60"/>
      <c r="S71" s="60"/>
      <c r="T71" s="60"/>
      <c r="U71" s="60"/>
      <c r="V71" s="60"/>
      <c r="W71" s="60"/>
      <c r="X71" s="60"/>
      <c r="Y71" s="60"/>
      <c r="Z71" s="61"/>
    </row>
    <row r="72" ht="15.75" customHeight="1" spans="1:26">
      <c r="A72" s="59"/>
      <c r="B72" s="60"/>
      <c r="C72" s="60"/>
      <c r="D72" s="60"/>
      <c r="E72" s="60"/>
      <c r="F72" s="60"/>
      <c r="G72" s="60"/>
      <c r="H72" s="60"/>
      <c r="I72" s="60"/>
      <c r="J72" s="60"/>
      <c r="K72" s="60"/>
      <c r="L72" s="60"/>
      <c r="M72" s="60"/>
      <c r="N72" s="60"/>
      <c r="O72" s="60"/>
      <c r="P72" s="60"/>
      <c r="Q72" s="60"/>
      <c r="R72" s="60"/>
      <c r="S72" s="60"/>
      <c r="T72" s="60"/>
      <c r="U72" s="60"/>
      <c r="V72" s="60"/>
      <c r="W72" s="60"/>
      <c r="X72" s="60"/>
      <c r="Y72" s="60"/>
      <c r="Z72" s="61"/>
    </row>
    <row r="73" ht="15.75" customHeight="1" spans="1:26">
      <c r="A73" s="59"/>
      <c r="B73" s="60"/>
      <c r="C73" s="60"/>
      <c r="D73" s="60"/>
      <c r="E73" s="60"/>
      <c r="F73" s="60"/>
      <c r="G73" s="60"/>
      <c r="H73" s="60"/>
      <c r="I73" s="60"/>
      <c r="J73" s="60"/>
      <c r="K73" s="60"/>
      <c r="L73" s="60"/>
      <c r="M73" s="60"/>
      <c r="N73" s="60"/>
      <c r="O73" s="60"/>
      <c r="P73" s="60"/>
      <c r="Q73" s="60"/>
      <c r="R73" s="60"/>
      <c r="S73" s="60"/>
      <c r="T73" s="60"/>
      <c r="U73" s="60"/>
      <c r="V73" s="60"/>
      <c r="W73" s="60"/>
      <c r="X73" s="60"/>
      <c r="Y73" s="60"/>
      <c r="Z73" s="61"/>
    </row>
    <row r="74" ht="15.75" customHeight="1" spans="1:26">
      <c r="A74" s="59"/>
      <c r="B74" s="60"/>
      <c r="C74" s="60"/>
      <c r="D74" s="60"/>
      <c r="E74" s="60"/>
      <c r="F74" s="60"/>
      <c r="G74" s="60"/>
      <c r="H74" s="60"/>
      <c r="I74" s="60"/>
      <c r="J74" s="60"/>
      <c r="K74" s="60"/>
      <c r="L74" s="60"/>
      <c r="M74" s="60"/>
      <c r="N74" s="60"/>
      <c r="O74" s="60"/>
      <c r="P74" s="60"/>
      <c r="Q74" s="60"/>
      <c r="R74" s="60"/>
      <c r="S74" s="60"/>
      <c r="T74" s="60"/>
      <c r="U74" s="60"/>
      <c r="V74" s="60"/>
      <c r="W74" s="60"/>
      <c r="X74" s="60"/>
      <c r="Y74" s="60"/>
      <c r="Z74" s="61"/>
    </row>
    <row r="75" ht="15.75" customHeight="1" spans="1:26">
      <c r="A75" s="59"/>
      <c r="B75" s="60"/>
      <c r="C75" s="60"/>
      <c r="D75" s="60"/>
      <c r="E75" s="60"/>
      <c r="F75" s="60"/>
      <c r="G75" s="60"/>
      <c r="H75" s="60"/>
      <c r="I75" s="60"/>
      <c r="J75" s="60"/>
      <c r="K75" s="60"/>
      <c r="L75" s="60"/>
      <c r="M75" s="60"/>
      <c r="N75" s="60"/>
      <c r="O75" s="60"/>
      <c r="P75" s="60"/>
      <c r="Q75" s="60"/>
      <c r="R75" s="60"/>
      <c r="S75" s="60"/>
      <c r="T75" s="60"/>
      <c r="U75" s="60"/>
      <c r="V75" s="60"/>
      <c r="W75" s="60"/>
      <c r="X75" s="60"/>
      <c r="Y75" s="60"/>
      <c r="Z75" s="61"/>
    </row>
    <row r="76" ht="15.75" customHeight="1" spans="1:26">
      <c r="A76" s="59"/>
      <c r="B76" s="60"/>
      <c r="C76" s="60"/>
      <c r="D76" s="60"/>
      <c r="E76" s="60"/>
      <c r="F76" s="60"/>
      <c r="G76" s="60"/>
      <c r="H76" s="60"/>
      <c r="I76" s="60"/>
      <c r="J76" s="60"/>
      <c r="K76" s="60"/>
      <c r="L76" s="60"/>
      <c r="M76" s="60"/>
      <c r="N76" s="60"/>
      <c r="O76" s="60"/>
      <c r="P76" s="60"/>
      <c r="Q76" s="60"/>
      <c r="R76" s="60"/>
      <c r="S76" s="60"/>
      <c r="T76" s="60"/>
      <c r="U76" s="60"/>
      <c r="V76" s="60"/>
      <c r="W76" s="60"/>
      <c r="X76" s="60"/>
      <c r="Y76" s="60"/>
      <c r="Z76" s="61"/>
    </row>
    <row r="77" ht="15.75" customHeight="1" spans="1:26">
      <c r="A77" s="59"/>
      <c r="B77" s="60"/>
      <c r="C77" s="60"/>
      <c r="D77" s="60"/>
      <c r="E77" s="60"/>
      <c r="F77" s="60"/>
      <c r="G77" s="60"/>
      <c r="H77" s="60"/>
      <c r="I77" s="60"/>
      <c r="J77" s="60"/>
      <c r="K77" s="60"/>
      <c r="L77" s="60"/>
      <c r="M77" s="60"/>
      <c r="N77" s="60"/>
      <c r="O77" s="60"/>
      <c r="P77" s="60"/>
      <c r="Q77" s="60"/>
      <c r="R77" s="60"/>
      <c r="S77" s="60"/>
      <c r="T77" s="60"/>
      <c r="U77" s="60"/>
      <c r="V77" s="60"/>
      <c r="W77" s="60"/>
      <c r="X77" s="60"/>
      <c r="Y77" s="60"/>
      <c r="Z77" s="61"/>
    </row>
    <row r="78" ht="15.75" customHeight="1" spans="1:26">
      <c r="A78" s="59"/>
      <c r="B78" s="60"/>
      <c r="C78" s="60"/>
      <c r="D78" s="60"/>
      <c r="E78" s="60"/>
      <c r="F78" s="60"/>
      <c r="G78" s="60"/>
      <c r="H78" s="60"/>
      <c r="I78" s="60"/>
      <c r="J78" s="60"/>
      <c r="K78" s="60"/>
      <c r="L78" s="60"/>
      <c r="M78" s="60"/>
      <c r="N78" s="60"/>
      <c r="O78" s="60"/>
      <c r="P78" s="60"/>
      <c r="Q78" s="60"/>
      <c r="R78" s="60"/>
      <c r="S78" s="60"/>
      <c r="T78" s="60"/>
      <c r="U78" s="60"/>
      <c r="V78" s="60"/>
      <c r="W78" s="60"/>
      <c r="X78" s="60"/>
      <c r="Y78" s="60"/>
      <c r="Z78" s="61"/>
    </row>
    <row r="79" ht="15.75" customHeight="1" spans="1:26">
      <c r="A79" s="59"/>
      <c r="B79" s="60"/>
      <c r="C79" s="60"/>
      <c r="D79" s="60"/>
      <c r="E79" s="60"/>
      <c r="F79" s="60"/>
      <c r="G79" s="60"/>
      <c r="H79" s="60"/>
      <c r="I79" s="60"/>
      <c r="J79" s="60"/>
      <c r="K79" s="60"/>
      <c r="L79" s="60"/>
      <c r="M79" s="60"/>
      <c r="N79" s="60"/>
      <c r="O79" s="60"/>
      <c r="P79" s="60"/>
      <c r="Q79" s="60"/>
      <c r="R79" s="60"/>
      <c r="S79" s="60"/>
      <c r="T79" s="60"/>
      <c r="U79" s="60"/>
      <c r="V79" s="60"/>
      <c r="W79" s="60"/>
      <c r="X79" s="60"/>
      <c r="Y79" s="60"/>
      <c r="Z79" s="61"/>
    </row>
    <row r="80" ht="15.75" customHeight="1" spans="1:26">
      <c r="A80" s="59"/>
      <c r="B80" s="60"/>
      <c r="C80" s="60"/>
      <c r="D80" s="60"/>
      <c r="E80" s="60"/>
      <c r="F80" s="60"/>
      <c r="G80" s="60"/>
      <c r="H80" s="60"/>
      <c r="I80" s="60"/>
      <c r="J80" s="60"/>
      <c r="K80" s="60"/>
      <c r="L80" s="60"/>
      <c r="M80" s="60"/>
      <c r="N80" s="60"/>
      <c r="O80" s="60"/>
      <c r="P80" s="60"/>
      <c r="Q80" s="60"/>
      <c r="R80" s="60"/>
      <c r="S80" s="60"/>
      <c r="T80" s="60"/>
      <c r="U80" s="60"/>
      <c r="V80" s="60"/>
      <c r="W80" s="60"/>
      <c r="X80" s="60"/>
      <c r="Y80" s="60"/>
      <c r="Z80" s="61"/>
    </row>
    <row r="81" ht="15.75" customHeight="1" spans="1:26">
      <c r="A81" s="59"/>
      <c r="B81" s="60"/>
      <c r="C81" s="60"/>
      <c r="D81" s="60"/>
      <c r="E81" s="60"/>
      <c r="F81" s="60"/>
      <c r="G81" s="60"/>
      <c r="H81" s="60"/>
      <c r="I81" s="60"/>
      <c r="J81" s="60"/>
      <c r="K81" s="60"/>
      <c r="L81" s="60"/>
      <c r="M81" s="60"/>
      <c r="N81" s="60"/>
      <c r="O81" s="60"/>
      <c r="P81" s="60"/>
      <c r="Q81" s="60"/>
      <c r="R81" s="60"/>
      <c r="S81" s="60"/>
      <c r="T81" s="60"/>
      <c r="U81" s="60"/>
      <c r="V81" s="60"/>
      <c r="W81" s="60"/>
      <c r="X81" s="60"/>
      <c r="Y81" s="60"/>
      <c r="Z81" s="61"/>
    </row>
    <row r="82" ht="15.75" customHeight="1" spans="1:26">
      <c r="A82" s="59"/>
      <c r="B82" s="60"/>
      <c r="C82" s="60"/>
      <c r="D82" s="60"/>
      <c r="E82" s="60"/>
      <c r="F82" s="60"/>
      <c r="G82" s="60"/>
      <c r="H82" s="60"/>
      <c r="I82" s="60"/>
      <c r="J82" s="60"/>
      <c r="K82" s="60"/>
      <c r="L82" s="60"/>
      <c r="M82" s="60"/>
      <c r="N82" s="60"/>
      <c r="O82" s="60"/>
      <c r="P82" s="60"/>
      <c r="Q82" s="60"/>
      <c r="R82" s="60"/>
      <c r="S82" s="60"/>
      <c r="T82" s="60"/>
      <c r="U82" s="60"/>
      <c r="V82" s="60"/>
      <c r="W82" s="60"/>
      <c r="X82" s="60"/>
      <c r="Y82" s="60"/>
      <c r="Z82" s="61"/>
    </row>
    <row r="83" ht="15.75" customHeight="1" spans="1:26">
      <c r="A83" s="59"/>
      <c r="B83" s="60"/>
      <c r="C83" s="60"/>
      <c r="D83" s="60"/>
      <c r="E83" s="60"/>
      <c r="F83" s="60"/>
      <c r="G83" s="60"/>
      <c r="H83" s="60"/>
      <c r="I83" s="60"/>
      <c r="J83" s="60"/>
      <c r="K83" s="60"/>
      <c r="L83" s="60"/>
      <c r="M83" s="60"/>
      <c r="N83" s="60"/>
      <c r="O83" s="60"/>
      <c r="P83" s="60"/>
      <c r="Q83" s="60"/>
      <c r="R83" s="60"/>
      <c r="S83" s="60"/>
      <c r="T83" s="60"/>
      <c r="U83" s="60"/>
      <c r="V83" s="60"/>
      <c r="W83" s="60"/>
      <c r="X83" s="60"/>
      <c r="Y83" s="60"/>
      <c r="Z83" s="61"/>
    </row>
    <row r="84" ht="15.75" customHeight="1" spans="1:26">
      <c r="A84" s="59"/>
      <c r="B84" s="60"/>
      <c r="C84" s="60"/>
      <c r="D84" s="60"/>
      <c r="E84" s="60"/>
      <c r="F84" s="60"/>
      <c r="G84" s="60"/>
      <c r="H84" s="60"/>
      <c r="I84" s="60"/>
      <c r="J84" s="60"/>
      <c r="K84" s="60"/>
      <c r="L84" s="60"/>
      <c r="M84" s="60"/>
      <c r="N84" s="60"/>
      <c r="O84" s="60"/>
      <c r="P84" s="60"/>
      <c r="Q84" s="60"/>
      <c r="R84" s="60"/>
      <c r="S84" s="60"/>
      <c r="T84" s="60"/>
      <c r="U84" s="60"/>
      <c r="V84" s="60"/>
      <c r="W84" s="60"/>
      <c r="X84" s="60"/>
      <c r="Y84" s="60"/>
      <c r="Z84" s="61"/>
    </row>
    <row r="85" ht="15.75" customHeight="1" spans="1:26">
      <c r="A85" s="59"/>
      <c r="B85" s="60"/>
      <c r="C85" s="60"/>
      <c r="D85" s="60"/>
      <c r="E85" s="60"/>
      <c r="F85" s="60"/>
      <c r="G85" s="60"/>
      <c r="H85" s="60"/>
      <c r="I85" s="60"/>
      <c r="J85" s="60"/>
      <c r="K85" s="60"/>
      <c r="L85" s="60"/>
      <c r="M85" s="60"/>
      <c r="N85" s="60"/>
      <c r="O85" s="60"/>
      <c r="P85" s="60"/>
      <c r="Q85" s="60"/>
      <c r="R85" s="60"/>
      <c r="S85" s="60"/>
      <c r="T85" s="60"/>
      <c r="U85" s="60"/>
      <c r="V85" s="60"/>
      <c r="W85" s="60"/>
      <c r="X85" s="60"/>
      <c r="Y85" s="60"/>
      <c r="Z85" s="61"/>
    </row>
    <row r="86" ht="15.75" customHeight="1" spans="1:26">
      <c r="A86" s="59"/>
      <c r="B86" s="60"/>
      <c r="C86" s="60"/>
      <c r="D86" s="60"/>
      <c r="E86" s="60"/>
      <c r="F86" s="60"/>
      <c r="G86" s="60"/>
      <c r="H86" s="60"/>
      <c r="I86" s="60"/>
      <c r="J86" s="60"/>
      <c r="K86" s="60"/>
      <c r="L86" s="60"/>
      <c r="M86" s="60"/>
      <c r="N86" s="60"/>
      <c r="O86" s="60"/>
      <c r="P86" s="60"/>
      <c r="Q86" s="60"/>
      <c r="R86" s="60"/>
      <c r="S86" s="60"/>
      <c r="T86" s="60"/>
      <c r="U86" s="60"/>
      <c r="V86" s="60"/>
      <c r="W86" s="60"/>
      <c r="X86" s="60"/>
      <c r="Y86" s="60"/>
      <c r="Z86" s="61"/>
    </row>
    <row r="87" ht="15.75" customHeight="1" spans="1:26">
      <c r="A87" s="59"/>
      <c r="B87" s="60"/>
      <c r="C87" s="60"/>
      <c r="D87" s="60"/>
      <c r="E87" s="60"/>
      <c r="F87" s="60"/>
      <c r="G87" s="60"/>
      <c r="H87" s="60"/>
      <c r="I87" s="60"/>
      <c r="J87" s="60"/>
      <c r="K87" s="60"/>
      <c r="L87" s="60"/>
      <c r="M87" s="60"/>
      <c r="N87" s="60"/>
      <c r="O87" s="60"/>
      <c r="P87" s="60"/>
      <c r="Q87" s="60"/>
      <c r="R87" s="60"/>
      <c r="S87" s="60"/>
      <c r="T87" s="60"/>
      <c r="U87" s="60"/>
      <c r="V87" s="60"/>
      <c r="W87" s="60"/>
      <c r="X87" s="60"/>
      <c r="Y87" s="60"/>
      <c r="Z87" s="61"/>
    </row>
    <row r="88" ht="15.75" customHeight="1" spans="1:26">
      <c r="A88" s="59"/>
      <c r="B88" s="60"/>
      <c r="C88" s="60"/>
      <c r="D88" s="60"/>
      <c r="E88" s="60"/>
      <c r="F88" s="60"/>
      <c r="G88" s="60"/>
      <c r="H88" s="60"/>
      <c r="I88" s="60"/>
      <c r="J88" s="60"/>
      <c r="K88" s="60"/>
      <c r="L88" s="60"/>
      <c r="M88" s="60"/>
      <c r="N88" s="60"/>
      <c r="O88" s="60"/>
      <c r="P88" s="60"/>
      <c r="Q88" s="60"/>
      <c r="R88" s="60"/>
      <c r="S88" s="60"/>
      <c r="T88" s="60"/>
      <c r="U88" s="60"/>
      <c r="V88" s="60"/>
      <c r="W88" s="60"/>
      <c r="X88" s="60"/>
      <c r="Y88" s="60"/>
      <c r="Z88" s="61"/>
    </row>
    <row r="89" ht="15.75" customHeight="1" spans="1:26">
      <c r="A89" s="59"/>
      <c r="B89" s="60"/>
      <c r="C89" s="60"/>
      <c r="D89" s="60"/>
      <c r="E89" s="60"/>
      <c r="F89" s="60"/>
      <c r="G89" s="60"/>
      <c r="H89" s="60"/>
      <c r="I89" s="60"/>
      <c r="J89" s="60"/>
      <c r="K89" s="60"/>
      <c r="L89" s="60"/>
      <c r="M89" s="60"/>
      <c r="N89" s="60"/>
      <c r="O89" s="60"/>
      <c r="P89" s="60"/>
      <c r="Q89" s="60"/>
      <c r="R89" s="60"/>
      <c r="S89" s="60"/>
      <c r="T89" s="60"/>
      <c r="U89" s="60"/>
      <c r="V89" s="60"/>
      <c r="W89" s="60"/>
      <c r="X89" s="60"/>
      <c r="Y89" s="60"/>
      <c r="Z89" s="61"/>
    </row>
    <row r="90" ht="15.75" customHeight="1" spans="1:26">
      <c r="A90" s="59"/>
      <c r="B90" s="60"/>
      <c r="C90" s="60"/>
      <c r="D90" s="60"/>
      <c r="E90" s="60"/>
      <c r="F90" s="60"/>
      <c r="G90" s="60"/>
      <c r="H90" s="60"/>
      <c r="I90" s="60"/>
      <c r="J90" s="60"/>
      <c r="K90" s="60"/>
      <c r="L90" s="60"/>
      <c r="M90" s="60"/>
      <c r="N90" s="60"/>
      <c r="O90" s="60"/>
      <c r="P90" s="60"/>
      <c r="Q90" s="60"/>
      <c r="R90" s="60"/>
      <c r="S90" s="60"/>
      <c r="T90" s="60"/>
      <c r="U90" s="60"/>
      <c r="V90" s="60"/>
      <c r="W90" s="60"/>
      <c r="X90" s="60"/>
      <c r="Y90" s="60"/>
      <c r="Z90" s="61"/>
    </row>
    <row r="91" ht="15.75" customHeight="1" spans="1:26">
      <c r="A91" s="59"/>
      <c r="B91" s="60"/>
      <c r="C91" s="60"/>
      <c r="D91" s="60"/>
      <c r="E91" s="60"/>
      <c r="F91" s="60"/>
      <c r="G91" s="60"/>
      <c r="H91" s="60"/>
      <c r="I91" s="60"/>
      <c r="J91" s="60"/>
      <c r="K91" s="60"/>
      <c r="L91" s="60"/>
      <c r="M91" s="60"/>
      <c r="N91" s="60"/>
      <c r="O91" s="60"/>
      <c r="P91" s="60"/>
      <c r="Q91" s="60"/>
      <c r="R91" s="60"/>
      <c r="S91" s="60"/>
      <c r="T91" s="60"/>
      <c r="U91" s="60"/>
      <c r="V91" s="60"/>
      <c r="W91" s="60"/>
      <c r="X91" s="60"/>
      <c r="Y91" s="60"/>
      <c r="Z91" s="61"/>
    </row>
    <row r="92" ht="15.75" customHeight="1" spans="1:26">
      <c r="A92" s="59"/>
      <c r="B92" s="60"/>
      <c r="C92" s="60"/>
      <c r="D92" s="60"/>
      <c r="E92" s="60"/>
      <c r="F92" s="60"/>
      <c r="G92" s="60"/>
      <c r="H92" s="60"/>
      <c r="I92" s="60"/>
      <c r="J92" s="60"/>
      <c r="K92" s="60"/>
      <c r="L92" s="60"/>
      <c r="M92" s="60"/>
      <c r="N92" s="60"/>
      <c r="O92" s="60"/>
      <c r="P92" s="60"/>
      <c r="Q92" s="60"/>
      <c r="R92" s="60"/>
      <c r="S92" s="60"/>
      <c r="T92" s="60"/>
      <c r="U92" s="60"/>
      <c r="V92" s="60"/>
      <c r="W92" s="60"/>
      <c r="X92" s="60"/>
      <c r="Y92" s="60"/>
      <c r="Z92" s="61"/>
    </row>
    <row r="93" ht="15.75" customHeight="1" spans="1:26">
      <c r="A93" s="59"/>
      <c r="B93" s="60"/>
      <c r="C93" s="60"/>
      <c r="D93" s="60"/>
      <c r="E93" s="60"/>
      <c r="F93" s="60"/>
      <c r="G93" s="60"/>
      <c r="H93" s="60"/>
      <c r="I93" s="60"/>
      <c r="J93" s="60"/>
      <c r="K93" s="60"/>
      <c r="L93" s="60"/>
      <c r="M93" s="60"/>
      <c r="N93" s="60"/>
      <c r="O93" s="60"/>
      <c r="P93" s="60"/>
      <c r="Q93" s="60"/>
      <c r="R93" s="60"/>
      <c r="S93" s="60"/>
      <c r="T93" s="60"/>
      <c r="U93" s="60"/>
      <c r="V93" s="60"/>
      <c r="W93" s="60"/>
      <c r="X93" s="60"/>
      <c r="Y93" s="60"/>
      <c r="Z93" s="61"/>
    </row>
    <row r="94" ht="15.75" customHeight="1" spans="1:26">
      <c r="A94" s="59"/>
      <c r="B94" s="60"/>
      <c r="C94" s="60"/>
      <c r="D94" s="60"/>
      <c r="E94" s="60"/>
      <c r="F94" s="60"/>
      <c r="G94" s="60"/>
      <c r="H94" s="60"/>
      <c r="I94" s="60"/>
      <c r="J94" s="60"/>
      <c r="K94" s="60"/>
      <c r="L94" s="60"/>
      <c r="M94" s="60"/>
      <c r="N94" s="60"/>
      <c r="O94" s="60"/>
      <c r="P94" s="60"/>
      <c r="Q94" s="60"/>
      <c r="R94" s="60"/>
      <c r="S94" s="60"/>
      <c r="T94" s="60"/>
      <c r="U94" s="60"/>
      <c r="V94" s="60"/>
      <c r="W94" s="60"/>
      <c r="X94" s="60"/>
      <c r="Y94" s="60"/>
      <c r="Z94" s="61"/>
    </row>
    <row r="95" ht="15.75" customHeight="1" spans="1:26">
      <c r="A95" s="59"/>
      <c r="B95" s="60"/>
      <c r="C95" s="60"/>
      <c r="D95" s="60"/>
      <c r="E95" s="60"/>
      <c r="F95" s="60"/>
      <c r="G95" s="60"/>
      <c r="H95" s="60"/>
      <c r="I95" s="60"/>
      <c r="J95" s="60"/>
      <c r="K95" s="60"/>
      <c r="L95" s="60"/>
      <c r="M95" s="60"/>
      <c r="N95" s="60"/>
      <c r="O95" s="60"/>
      <c r="P95" s="60"/>
      <c r="Q95" s="60"/>
      <c r="R95" s="60"/>
      <c r="S95" s="60"/>
      <c r="T95" s="60"/>
      <c r="U95" s="60"/>
      <c r="V95" s="60"/>
      <c r="W95" s="60"/>
      <c r="X95" s="60"/>
      <c r="Y95" s="60"/>
      <c r="Z95" s="61"/>
    </row>
    <row r="96" ht="15.75" customHeight="1" spans="1:26">
      <c r="A96" s="59"/>
      <c r="B96" s="60"/>
      <c r="C96" s="60"/>
      <c r="D96" s="60"/>
      <c r="E96" s="60"/>
      <c r="F96" s="60"/>
      <c r="G96" s="60"/>
      <c r="H96" s="60"/>
      <c r="I96" s="60"/>
      <c r="J96" s="60"/>
      <c r="K96" s="60"/>
      <c r="L96" s="60"/>
      <c r="M96" s="60"/>
      <c r="N96" s="60"/>
      <c r="O96" s="60"/>
      <c r="P96" s="60"/>
      <c r="Q96" s="60"/>
      <c r="R96" s="60"/>
      <c r="S96" s="60"/>
      <c r="T96" s="60"/>
      <c r="U96" s="60"/>
      <c r="V96" s="60"/>
      <c r="W96" s="60"/>
      <c r="X96" s="60"/>
      <c r="Y96" s="60"/>
      <c r="Z96" s="61"/>
    </row>
    <row r="97" ht="15.75" customHeight="1" spans="1:26">
      <c r="A97" s="59"/>
      <c r="B97" s="60"/>
      <c r="C97" s="60"/>
      <c r="D97" s="60"/>
      <c r="E97" s="60"/>
      <c r="F97" s="60"/>
      <c r="G97" s="60"/>
      <c r="H97" s="60"/>
      <c r="I97" s="60"/>
      <c r="J97" s="60"/>
      <c r="K97" s="60"/>
      <c r="L97" s="60"/>
      <c r="M97" s="60"/>
      <c r="N97" s="60"/>
      <c r="O97" s="60"/>
      <c r="P97" s="60"/>
      <c r="Q97" s="60"/>
      <c r="R97" s="60"/>
      <c r="S97" s="60"/>
      <c r="T97" s="60"/>
      <c r="U97" s="60"/>
      <c r="V97" s="60"/>
      <c r="W97" s="60"/>
      <c r="X97" s="60"/>
      <c r="Y97" s="60"/>
      <c r="Z97" s="61"/>
    </row>
    <row r="98" ht="15.75" customHeight="1" spans="1:26">
      <c r="A98" s="59"/>
      <c r="B98" s="60"/>
      <c r="C98" s="60"/>
      <c r="D98" s="60"/>
      <c r="E98" s="60"/>
      <c r="F98" s="60"/>
      <c r="G98" s="60"/>
      <c r="H98" s="60"/>
      <c r="I98" s="60"/>
      <c r="J98" s="60"/>
      <c r="K98" s="60"/>
      <c r="L98" s="60"/>
      <c r="M98" s="60"/>
      <c r="N98" s="60"/>
      <c r="O98" s="60"/>
      <c r="P98" s="60"/>
      <c r="Q98" s="60"/>
      <c r="R98" s="60"/>
      <c r="S98" s="60"/>
      <c r="T98" s="60"/>
      <c r="U98" s="60"/>
      <c r="V98" s="60"/>
      <c r="W98" s="60"/>
      <c r="X98" s="60"/>
      <c r="Y98" s="60"/>
      <c r="Z98" s="61"/>
    </row>
    <row r="99" ht="15.75" customHeight="1" spans="1:26">
      <c r="A99" s="59"/>
      <c r="B99" s="60"/>
      <c r="C99" s="60"/>
      <c r="D99" s="60"/>
      <c r="E99" s="60"/>
      <c r="F99" s="60"/>
      <c r="G99" s="60"/>
      <c r="H99" s="60"/>
      <c r="I99" s="60"/>
      <c r="J99" s="60"/>
      <c r="K99" s="60"/>
      <c r="L99" s="60"/>
      <c r="M99" s="60"/>
      <c r="N99" s="60"/>
      <c r="O99" s="60"/>
      <c r="P99" s="60"/>
      <c r="Q99" s="60"/>
      <c r="R99" s="60"/>
      <c r="S99" s="60"/>
      <c r="T99" s="60"/>
      <c r="U99" s="60"/>
      <c r="V99" s="60"/>
      <c r="W99" s="60"/>
      <c r="X99" s="60"/>
      <c r="Y99" s="60"/>
      <c r="Z99" s="61"/>
    </row>
    <row r="100" ht="15.75" customHeight="1" spans="1:26">
      <c r="A100" s="59"/>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1"/>
    </row>
    <row r="101" ht="15.75" customHeight="1" spans="1:26">
      <c r="A101" s="59"/>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1"/>
    </row>
    <row r="102" ht="15.75" customHeight="1" spans="1:26">
      <c r="A102" s="59"/>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1"/>
    </row>
    <row r="103" ht="15.75" customHeight="1" spans="1:26">
      <c r="A103" s="59"/>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1"/>
    </row>
    <row r="104" ht="15.75" customHeight="1" spans="1:26">
      <c r="A104" s="59"/>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1"/>
    </row>
    <row r="105" ht="15.75" customHeight="1" spans="1:26">
      <c r="A105" s="59"/>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1"/>
    </row>
    <row r="106" ht="15.75" customHeight="1" spans="1:26">
      <c r="A106" s="59"/>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1"/>
    </row>
    <row r="107" ht="15.75" customHeight="1" spans="1:26">
      <c r="A107" s="59"/>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1"/>
    </row>
    <row r="108" ht="15.75" customHeight="1" spans="1:26">
      <c r="A108" s="59"/>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1"/>
    </row>
    <row r="109" ht="15.75" customHeight="1" spans="1:26">
      <c r="A109" s="59"/>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1"/>
    </row>
    <row r="110" ht="15.75" customHeight="1" spans="1:26">
      <c r="A110" s="59"/>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1"/>
    </row>
    <row r="111" ht="15.75" customHeight="1" spans="1:26">
      <c r="A111" s="59"/>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1"/>
    </row>
    <row r="112" ht="15.75" customHeight="1" spans="1:26">
      <c r="A112" s="59"/>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1"/>
    </row>
    <row r="113" ht="15.75" customHeight="1" spans="1:26">
      <c r="A113" s="59"/>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1"/>
    </row>
    <row r="114" ht="15.75" customHeight="1" spans="1:26">
      <c r="A114" s="59"/>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1"/>
    </row>
    <row r="115" ht="15.75" customHeight="1" spans="1:26">
      <c r="A115" s="59"/>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1"/>
    </row>
    <row r="116" ht="15.75" customHeight="1" spans="1:26">
      <c r="A116" s="59"/>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1"/>
    </row>
    <row r="117" ht="15.75" customHeight="1" spans="1:26">
      <c r="A117" s="59"/>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1"/>
    </row>
    <row r="118" ht="15.75" customHeight="1" spans="1:26">
      <c r="A118" s="59"/>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1"/>
    </row>
    <row r="119" ht="15.75" customHeight="1" spans="1:26">
      <c r="A119" s="59"/>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1"/>
    </row>
    <row r="120" ht="15.75" customHeight="1" spans="1:26">
      <c r="A120" s="59"/>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1"/>
    </row>
    <row r="121" ht="15.75" customHeight="1" spans="1:26">
      <c r="A121" s="59"/>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1"/>
    </row>
    <row r="122" ht="15.75" customHeight="1" spans="1:26">
      <c r="A122" s="59"/>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1"/>
    </row>
    <row r="123" ht="15.75" customHeight="1" spans="1:26">
      <c r="A123" s="59"/>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1"/>
    </row>
    <row r="124" ht="15.75" customHeight="1" spans="1:26">
      <c r="A124" s="59"/>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1"/>
    </row>
    <row r="125" ht="15.75" customHeight="1" spans="1:26">
      <c r="A125" s="59"/>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1"/>
    </row>
    <row r="126" ht="15.75" customHeight="1" spans="1:26">
      <c r="A126" s="59"/>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1"/>
    </row>
    <row r="127" ht="15.75" customHeight="1" spans="1:26">
      <c r="A127" s="59"/>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1"/>
    </row>
    <row r="128" ht="15.75" customHeight="1" spans="1:26">
      <c r="A128" s="59"/>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1"/>
    </row>
    <row r="129" ht="15.75" customHeight="1" spans="1:26">
      <c r="A129" s="59"/>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1"/>
    </row>
    <row r="130" ht="15.75" customHeight="1" spans="1:26">
      <c r="A130" s="59"/>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1"/>
    </row>
    <row r="131" ht="15.75" customHeight="1" spans="1:26">
      <c r="A131" s="59"/>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1"/>
    </row>
    <row r="132" ht="15.75" customHeight="1" spans="1:26">
      <c r="A132" s="59"/>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1"/>
    </row>
    <row r="133" ht="15.75" customHeight="1" spans="1:26">
      <c r="A133" s="59"/>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1"/>
    </row>
    <row r="134" ht="15.75" customHeight="1" spans="1:26">
      <c r="A134" s="59"/>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1"/>
    </row>
    <row r="135" ht="15.75" customHeight="1" spans="1:26">
      <c r="A135" s="59"/>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1"/>
    </row>
    <row r="136" ht="15.75" customHeight="1" spans="1:26">
      <c r="A136" s="59"/>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1"/>
    </row>
    <row r="137" ht="15.75" customHeight="1" spans="1:26">
      <c r="A137" s="59"/>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1"/>
    </row>
    <row r="138" ht="15.75" customHeight="1" spans="1:26">
      <c r="A138" s="59"/>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1"/>
    </row>
    <row r="139" ht="15.75" customHeight="1" spans="1:26">
      <c r="A139" s="59"/>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1"/>
    </row>
    <row r="140" ht="15.75" customHeight="1" spans="1:26">
      <c r="A140" s="59"/>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1"/>
    </row>
    <row r="141" ht="15.75" customHeight="1" spans="1:26">
      <c r="A141" s="59"/>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1"/>
    </row>
    <row r="142" ht="15.75" customHeight="1" spans="1:26">
      <c r="A142" s="59"/>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1"/>
    </row>
    <row r="143" ht="15.75" customHeight="1" spans="1:26">
      <c r="A143" s="59"/>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1"/>
    </row>
    <row r="144" ht="15.75" customHeight="1" spans="1:26">
      <c r="A144" s="59"/>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1"/>
    </row>
    <row r="145" ht="15.75" customHeight="1" spans="1:26">
      <c r="A145" s="59"/>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1"/>
    </row>
    <row r="146" ht="15.75" customHeight="1" spans="1:26">
      <c r="A146" s="59"/>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1"/>
    </row>
    <row r="147" ht="15.75" customHeight="1" spans="1:26">
      <c r="A147" s="59"/>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1"/>
    </row>
    <row r="148" ht="15.75" customHeight="1" spans="1:26">
      <c r="A148" s="59"/>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1"/>
    </row>
    <row r="149" ht="15.75" customHeight="1" spans="1:26">
      <c r="A149" s="59"/>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1"/>
    </row>
    <row r="150" ht="15.75" customHeight="1" spans="1:26">
      <c r="A150" s="59"/>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1"/>
    </row>
    <row r="151" ht="15.75" customHeight="1" spans="1:26">
      <c r="A151" s="59"/>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1"/>
    </row>
    <row r="152" ht="15.75" customHeight="1" spans="1:26">
      <c r="A152" s="59"/>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1"/>
    </row>
    <row r="153" ht="15.75" customHeight="1" spans="1:26">
      <c r="A153" s="59"/>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1"/>
    </row>
    <row r="154" ht="15.75" customHeight="1" spans="1:26">
      <c r="A154" s="59"/>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1"/>
    </row>
    <row r="155" ht="15.75" customHeight="1" spans="1:26">
      <c r="A155" s="59"/>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1"/>
    </row>
    <row r="156" ht="15.75" customHeight="1" spans="1:26">
      <c r="A156" s="59"/>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1"/>
    </row>
    <row r="157" ht="15.75" customHeight="1" spans="1:26">
      <c r="A157" s="59"/>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1"/>
    </row>
    <row r="158" ht="15.75" customHeight="1" spans="1:26">
      <c r="A158" s="59"/>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1"/>
    </row>
    <row r="159" ht="15.75" customHeight="1" spans="1:26">
      <c r="A159" s="59"/>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1"/>
    </row>
    <row r="160" ht="15.75" customHeight="1" spans="1:26">
      <c r="A160" s="59"/>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1"/>
    </row>
    <row r="161" ht="15.75" customHeight="1" spans="1:26">
      <c r="A161" s="59"/>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1"/>
    </row>
    <row r="162" ht="15.75" customHeight="1" spans="1:26">
      <c r="A162" s="59"/>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1"/>
    </row>
    <row r="163" ht="15.75" customHeight="1" spans="1:26">
      <c r="A163" s="59"/>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1"/>
    </row>
    <row r="164" ht="15.75" customHeight="1" spans="1:26">
      <c r="A164" s="59"/>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1"/>
    </row>
    <row r="165" ht="15.75" customHeight="1" spans="1:26">
      <c r="A165" s="59"/>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1"/>
    </row>
    <row r="166" ht="15.75" customHeight="1" spans="1:26">
      <c r="A166" s="59"/>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1"/>
    </row>
    <row r="167" ht="15.75" customHeight="1" spans="1:26">
      <c r="A167" s="59"/>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1"/>
    </row>
    <row r="168" ht="15.75" customHeight="1" spans="1:26">
      <c r="A168" s="59"/>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1"/>
    </row>
    <row r="169" ht="15.75" customHeight="1" spans="1:26">
      <c r="A169" s="59"/>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1"/>
    </row>
    <row r="170" ht="15.75" customHeight="1" spans="1:26">
      <c r="A170" s="59"/>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1"/>
    </row>
    <row r="171" ht="15.75" customHeight="1" spans="1:26">
      <c r="A171" s="59"/>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1"/>
    </row>
    <row r="172" ht="15.75" customHeight="1" spans="1:26">
      <c r="A172" s="59"/>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1"/>
    </row>
    <row r="173" ht="15.75" customHeight="1" spans="1:26">
      <c r="A173" s="59"/>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1"/>
    </row>
    <row r="174" ht="15.75" customHeight="1" spans="1:26">
      <c r="A174" s="59"/>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1"/>
    </row>
    <row r="175" ht="15.75" customHeight="1" spans="1:26">
      <c r="A175" s="59"/>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1"/>
    </row>
    <row r="176" ht="15.75" customHeight="1" spans="1:26">
      <c r="A176" s="59"/>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1"/>
    </row>
    <row r="177" ht="15.75" customHeight="1" spans="1:26">
      <c r="A177" s="59"/>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1"/>
    </row>
    <row r="178" ht="15.75" customHeight="1" spans="1:26">
      <c r="A178" s="59"/>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1"/>
    </row>
    <row r="179" ht="15.75" customHeight="1" spans="1:26">
      <c r="A179" s="59"/>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1"/>
    </row>
    <row r="180" ht="15.75" customHeight="1" spans="1:26">
      <c r="A180" s="59"/>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1"/>
    </row>
    <row r="181" ht="15.75" customHeight="1" spans="1:26">
      <c r="A181" s="59"/>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1"/>
    </row>
    <row r="182" ht="15.75" customHeight="1" spans="1:26">
      <c r="A182" s="59"/>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1"/>
    </row>
    <row r="183" ht="15.75" customHeight="1" spans="1:26">
      <c r="A183" s="59"/>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1"/>
    </row>
    <row r="184" ht="15.75" customHeight="1" spans="1:26">
      <c r="A184" s="59"/>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1"/>
    </row>
    <row r="185" ht="15.75" customHeight="1" spans="1:26">
      <c r="A185" s="59"/>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1"/>
    </row>
    <row r="186" ht="15.75" customHeight="1" spans="1:26">
      <c r="A186" s="59"/>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1"/>
    </row>
    <row r="187" ht="15.75" customHeight="1" spans="1:26">
      <c r="A187" s="59"/>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1"/>
    </row>
    <row r="188" ht="15.75" customHeight="1" spans="1:26">
      <c r="A188" s="59"/>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1"/>
    </row>
    <row r="189" ht="15.75" customHeight="1" spans="1:26">
      <c r="A189" s="59"/>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1"/>
    </row>
    <row r="190" ht="15.75" customHeight="1" spans="1:26">
      <c r="A190" s="59"/>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1"/>
    </row>
    <row r="191" ht="15.75" customHeight="1" spans="1:26">
      <c r="A191" s="59"/>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1"/>
    </row>
    <row r="192" ht="15.75" customHeight="1" spans="1:26">
      <c r="A192" s="59"/>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1"/>
    </row>
    <row r="193" ht="15.75" customHeight="1" spans="1:26">
      <c r="A193" s="59"/>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1"/>
    </row>
    <row r="194" ht="15.75" customHeight="1" spans="1:26">
      <c r="A194" s="59"/>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1"/>
    </row>
    <row r="195" ht="15.75" customHeight="1" spans="1:26">
      <c r="A195" s="59"/>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1"/>
    </row>
    <row r="196" ht="15.75" customHeight="1" spans="1:26">
      <c r="A196" s="59"/>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1"/>
    </row>
    <row r="197" ht="15.75" customHeight="1" spans="1:26">
      <c r="A197" s="59"/>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1"/>
    </row>
    <row r="198" ht="15.75" customHeight="1" spans="1:26">
      <c r="A198" s="59"/>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1"/>
    </row>
    <row r="199" ht="15.75" customHeight="1" spans="1:26">
      <c r="A199" s="59"/>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1"/>
    </row>
    <row r="200" ht="15.75" customHeight="1" spans="1:26">
      <c r="A200" s="59"/>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1"/>
    </row>
    <row r="201" ht="15.75" customHeight="1" spans="1:26">
      <c r="A201" s="59"/>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1"/>
    </row>
    <row r="202" ht="15.75" customHeight="1" spans="1:26">
      <c r="A202" s="59"/>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1"/>
    </row>
    <row r="203" ht="15.75" customHeight="1" spans="1:26">
      <c r="A203" s="59"/>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1"/>
    </row>
    <row r="204" ht="15.75" customHeight="1" spans="1:26">
      <c r="A204" s="59"/>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1"/>
    </row>
    <row r="205" ht="15.75" customHeight="1" spans="1:26">
      <c r="A205" s="59"/>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1"/>
    </row>
    <row r="206" ht="15.75" customHeight="1" spans="1:26">
      <c r="A206" s="59"/>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1"/>
    </row>
    <row r="207" ht="15.75" customHeight="1" spans="1:26">
      <c r="A207" s="59"/>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1"/>
    </row>
    <row r="208" ht="15.75" customHeight="1" spans="1:26">
      <c r="A208" s="59"/>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1"/>
    </row>
    <row r="209" ht="15.75" customHeight="1" spans="1:26">
      <c r="A209" s="59"/>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1"/>
    </row>
    <row r="210" ht="15.75" customHeight="1" spans="1:26">
      <c r="A210" s="59"/>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1"/>
    </row>
    <row r="211" ht="15.75" customHeight="1" spans="1:26">
      <c r="A211" s="59"/>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1"/>
    </row>
    <row r="212" ht="15.75" customHeight="1" spans="1:26">
      <c r="A212" s="59"/>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1"/>
    </row>
    <row r="213" ht="15.75" customHeight="1" spans="1:26">
      <c r="A213" s="59"/>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1"/>
    </row>
    <row r="214" ht="15.75" customHeight="1" spans="1:26">
      <c r="A214" s="59"/>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1"/>
    </row>
    <row r="215" ht="15.75" customHeight="1" spans="1:26">
      <c r="A215" s="59"/>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1"/>
    </row>
    <row r="216" ht="15.75" customHeight="1" spans="1:26">
      <c r="A216" s="59"/>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1"/>
    </row>
    <row r="217" ht="15.75" customHeight="1" spans="1:26">
      <c r="A217" s="59"/>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1"/>
    </row>
    <row r="218" ht="15.75" customHeight="1" spans="1:26">
      <c r="A218" s="59"/>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1"/>
    </row>
    <row r="219" ht="15.75" customHeight="1" spans="1:26">
      <c r="A219" s="59"/>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1"/>
    </row>
    <row r="220" ht="15.75" customHeight="1" spans="1:26">
      <c r="A220" s="59"/>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1"/>
    </row>
    <row r="221" ht="15.75" customHeight="1" spans="1:26">
      <c r="A221" s="59"/>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1"/>
    </row>
    <row r="222" ht="15.75" customHeight="1" spans="1:26">
      <c r="A222" s="59"/>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1"/>
    </row>
    <row r="223" ht="15.75" customHeight="1" spans="1:26">
      <c r="A223" s="59"/>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1"/>
    </row>
    <row r="224" ht="15.75" customHeight="1" spans="1:26">
      <c r="A224" s="59"/>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1"/>
    </row>
    <row r="225" ht="15.75" customHeight="1" spans="1:26">
      <c r="A225" s="59"/>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1"/>
    </row>
    <row r="226" ht="15.75" customHeight="1" spans="1:26">
      <c r="A226" s="59"/>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1"/>
    </row>
    <row r="227" ht="15.75" customHeight="1" spans="1:26">
      <c r="A227" s="59"/>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1"/>
    </row>
    <row r="228" ht="15.75" customHeight="1" spans="1:26">
      <c r="A228" s="59"/>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1"/>
    </row>
    <row r="229" ht="15.75" customHeight="1" spans="1:26">
      <c r="A229" s="59"/>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1"/>
    </row>
    <row r="230" ht="15.75" customHeight="1" spans="1:26">
      <c r="A230" s="59"/>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1"/>
    </row>
    <row r="231" ht="15.75" customHeight="1" spans="1:26">
      <c r="A231" s="59"/>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1"/>
    </row>
    <row r="232" ht="15.75" customHeight="1" spans="1:26">
      <c r="A232" s="59"/>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1"/>
    </row>
    <row r="233" ht="15.75" customHeight="1" spans="1:26">
      <c r="A233" s="59"/>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1"/>
    </row>
    <row r="234" ht="15.75" customHeight="1" spans="1:26">
      <c r="A234" s="59"/>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1"/>
    </row>
    <row r="235" ht="15.75" customHeight="1" spans="1:26">
      <c r="A235" s="59"/>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1"/>
    </row>
    <row r="236" ht="15.75" customHeight="1" spans="1:26">
      <c r="A236" s="59"/>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1"/>
    </row>
    <row r="237" ht="15.75" customHeight="1" spans="1:26">
      <c r="A237" s="59"/>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1"/>
    </row>
    <row r="238" ht="15.75" customHeight="1" spans="1:26">
      <c r="A238" s="59"/>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1"/>
    </row>
    <row r="239" ht="15.75" customHeight="1" spans="1:26">
      <c r="A239" s="59"/>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1"/>
    </row>
    <row r="240" ht="15.75" customHeight="1" spans="1:26">
      <c r="A240" s="59"/>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1"/>
    </row>
    <row r="241" ht="15.75" customHeight="1" spans="1:26">
      <c r="A241" s="59"/>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1"/>
    </row>
    <row r="242" ht="15.75" customHeight="1" spans="1:26">
      <c r="A242" s="59"/>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1"/>
    </row>
    <row r="243" ht="15.75" customHeight="1" spans="1:26">
      <c r="A243" s="59"/>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1"/>
    </row>
    <row r="244" ht="15.75" customHeight="1" spans="1:26">
      <c r="A244" s="59"/>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1"/>
    </row>
    <row r="245" ht="15.75" customHeight="1" spans="1:26">
      <c r="A245" s="59"/>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1"/>
    </row>
    <row r="246" ht="15.75" customHeight="1" spans="1:26">
      <c r="A246" s="59"/>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1"/>
    </row>
    <row r="247" ht="15.75" customHeight="1" spans="1:26">
      <c r="A247" s="59"/>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1"/>
    </row>
    <row r="248" ht="15.75" customHeight="1" spans="1:26">
      <c r="A248" s="59"/>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1"/>
    </row>
    <row r="249" ht="15.75" customHeight="1" spans="1:26">
      <c r="A249" s="59"/>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1"/>
    </row>
    <row r="250" ht="15.75" customHeight="1" spans="1:26">
      <c r="A250" s="59"/>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1"/>
    </row>
    <row r="251" ht="15.75" customHeight="1" spans="1:26">
      <c r="A251" s="59"/>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1"/>
    </row>
    <row r="252" ht="15.75" customHeight="1" spans="1:26">
      <c r="A252" s="59"/>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1"/>
    </row>
    <row r="253" ht="15.75" customHeight="1" spans="1:26">
      <c r="A253" s="59"/>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1"/>
    </row>
    <row r="254" ht="15.75" customHeight="1" spans="1:26">
      <c r="A254" s="59"/>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1"/>
    </row>
    <row r="255" ht="15.75" customHeight="1" spans="1:26">
      <c r="A255" s="59"/>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1"/>
    </row>
    <row r="256" ht="15.75" customHeight="1" spans="1:26">
      <c r="A256" s="59"/>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1"/>
    </row>
    <row r="257" ht="15.75" customHeight="1" spans="1:26">
      <c r="A257" s="59"/>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1"/>
    </row>
    <row r="258" ht="15.75" customHeight="1" spans="1:26">
      <c r="A258" s="59"/>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1"/>
    </row>
    <row r="259" ht="15.75" customHeight="1" spans="1:26">
      <c r="A259" s="59"/>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1"/>
    </row>
    <row r="260" ht="15.75" customHeight="1" spans="1:26">
      <c r="A260" s="59"/>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1"/>
    </row>
    <row r="261" ht="15.75" customHeight="1" spans="1:26">
      <c r="A261" s="59"/>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1"/>
    </row>
    <row r="262" ht="15.75" customHeight="1" spans="1:26">
      <c r="A262" s="59"/>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1"/>
    </row>
    <row r="263" ht="15.75" customHeight="1" spans="1:26">
      <c r="A263" s="59"/>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1"/>
    </row>
    <row r="264" ht="15.75" customHeight="1" spans="1:26">
      <c r="A264" s="59"/>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1"/>
    </row>
    <row r="265" ht="15.75" customHeight="1" spans="1:26">
      <c r="A265" s="59"/>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1"/>
    </row>
    <row r="266" ht="15.75" customHeight="1" spans="1:26">
      <c r="A266" s="59"/>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1"/>
    </row>
    <row r="267" ht="15.75" customHeight="1" spans="1:26">
      <c r="A267" s="59"/>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1"/>
    </row>
    <row r="268" ht="15.75" customHeight="1" spans="1:26">
      <c r="A268" s="59"/>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1"/>
    </row>
    <row r="269" ht="15.75" customHeight="1" spans="1:26">
      <c r="A269" s="59"/>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1"/>
    </row>
    <row r="270" ht="15.75" customHeight="1" spans="1:26">
      <c r="A270" s="59"/>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1"/>
    </row>
    <row r="271" ht="15.75" customHeight="1" spans="1:26">
      <c r="A271" s="59"/>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1"/>
    </row>
    <row r="272" ht="15.75" customHeight="1" spans="1:26">
      <c r="A272" s="59"/>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1"/>
    </row>
    <row r="273" ht="15.75" customHeight="1" spans="1:26">
      <c r="A273" s="59"/>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1"/>
    </row>
    <row r="274" ht="15.75" customHeight="1" spans="1:26">
      <c r="A274" s="59"/>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1"/>
    </row>
    <row r="275" ht="15.75" customHeight="1" spans="1:26">
      <c r="A275" s="59"/>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1"/>
    </row>
    <row r="276" ht="15.75" customHeight="1" spans="1:26">
      <c r="A276" s="59"/>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1"/>
    </row>
    <row r="277" ht="15.75" customHeight="1" spans="1:26">
      <c r="A277" s="59"/>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1"/>
    </row>
    <row r="278" ht="15.75" customHeight="1" spans="1:26">
      <c r="A278" s="59"/>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1"/>
    </row>
    <row r="279" ht="15.75" customHeight="1" spans="1:26">
      <c r="A279" s="59"/>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1"/>
    </row>
    <row r="280" ht="15.75" customHeight="1" spans="1:26">
      <c r="A280" s="59"/>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1"/>
    </row>
    <row r="281" ht="15.75" customHeight="1" spans="1:26">
      <c r="A281" s="59"/>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1"/>
    </row>
    <row r="282" ht="15.75" customHeight="1" spans="1:26">
      <c r="A282" s="59"/>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1"/>
    </row>
    <row r="283" ht="15.75" customHeight="1" spans="1:26">
      <c r="A283" s="59"/>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1"/>
    </row>
    <row r="284" ht="15.75" customHeight="1" spans="1:26">
      <c r="A284" s="59"/>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1"/>
    </row>
    <row r="285" ht="15.75" customHeight="1" spans="1:26">
      <c r="A285" s="59"/>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1"/>
    </row>
    <row r="286" ht="15.75" customHeight="1" spans="1:26">
      <c r="A286" s="59"/>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1"/>
    </row>
    <row r="287" ht="15.75" customHeight="1" spans="1:26">
      <c r="A287" s="59"/>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1"/>
    </row>
    <row r="288" ht="15.75" customHeight="1" spans="1:26">
      <c r="A288" s="59"/>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1"/>
    </row>
    <row r="289" ht="15.75" customHeight="1" spans="1:26">
      <c r="A289" s="59"/>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1"/>
    </row>
    <row r="290" ht="15.75" customHeight="1" spans="1:26">
      <c r="A290" s="59"/>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1"/>
    </row>
    <row r="291" ht="15.75" customHeight="1" spans="1:26">
      <c r="A291" s="59"/>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1"/>
    </row>
    <row r="292" ht="15.75" customHeight="1" spans="1:26">
      <c r="A292" s="59"/>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1"/>
    </row>
    <row r="293" ht="15.75" customHeight="1" spans="1:26">
      <c r="A293" s="59"/>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1"/>
    </row>
    <row r="294" ht="15.75" customHeight="1" spans="1:26">
      <c r="A294" s="59"/>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1"/>
    </row>
    <row r="295" ht="15.75" customHeight="1" spans="1:26">
      <c r="A295" s="59"/>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1"/>
    </row>
    <row r="296" ht="15.75" customHeight="1" spans="1:26">
      <c r="A296" s="59"/>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1"/>
    </row>
    <row r="297" ht="15.75" customHeight="1" spans="1:26">
      <c r="A297" s="59"/>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1"/>
    </row>
    <row r="298" ht="15.75" customHeight="1" spans="1:26">
      <c r="A298" s="59"/>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1"/>
    </row>
    <row r="299" ht="15.75" customHeight="1" spans="1:26">
      <c r="A299" s="59"/>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1"/>
    </row>
    <row r="300" ht="15.75" customHeight="1" spans="1:26">
      <c r="A300" s="59"/>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1"/>
    </row>
    <row r="301" ht="15.75" customHeight="1" spans="1:26">
      <c r="A301" s="59"/>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1"/>
    </row>
    <row r="302" ht="15.75" customHeight="1" spans="1:26">
      <c r="A302" s="59"/>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1"/>
    </row>
    <row r="303" ht="15.75" customHeight="1" spans="1:26">
      <c r="A303" s="59"/>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1"/>
    </row>
    <row r="304" ht="15.75" customHeight="1" spans="1:26">
      <c r="A304" s="59"/>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1"/>
    </row>
    <row r="305" ht="15.75" customHeight="1" spans="1:26">
      <c r="A305" s="59"/>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1"/>
    </row>
    <row r="306" ht="15.75" customHeight="1" spans="1:26">
      <c r="A306" s="59"/>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1"/>
    </row>
    <row r="307" ht="15.75" customHeight="1" spans="1:26">
      <c r="A307" s="59"/>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1"/>
    </row>
    <row r="308" ht="15.75" customHeight="1" spans="1:26">
      <c r="A308" s="59"/>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1"/>
    </row>
    <row r="309" ht="15.75" customHeight="1" spans="1:26">
      <c r="A309" s="59"/>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1"/>
    </row>
    <row r="310" ht="15.75" customHeight="1" spans="1:26">
      <c r="A310" s="59"/>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1"/>
    </row>
    <row r="311" ht="15.75" customHeight="1" spans="1:26">
      <c r="A311" s="59"/>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1"/>
    </row>
    <row r="312" ht="15.75" customHeight="1" spans="1:26">
      <c r="A312" s="59"/>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1"/>
    </row>
    <row r="313" ht="15.75" customHeight="1" spans="1:26">
      <c r="A313" s="59"/>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1"/>
    </row>
    <row r="314" ht="15.75" customHeight="1" spans="1:26">
      <c r="A314" s="59"/>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1"/>
    </row>
    <row r="315" ht="15.75" customHeight="1" spans="1:26">
      <c r="A315" s="59"/>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1"/>
    </row>
    <row r="316" ht="15.75" customHeight="1" spans="1:26">
      <c r="A316" s="59"/>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1"/>
    </row>
    <row r="317" ht="15.75" customHeight="1" spans="1:26">
      <c r="A317" s="59"/>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1"/>
    </row>
    <row r="318" ht="15.75" customHeight="1" spans="1:26">
      <c r="A318" s="59"/>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1"/>
    </row>
    <row r="319" ht="15.75" customHeight="1" spans="1:26">
      <c r="A319" s="59"/>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1"/>
    </row>
    <row r="320" ht="15.75" customHeight="1" spans="1:26">
      <c r="A320" s="59"/>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1"/>
    </row>
    <row r="321" ht="15.75" customHeight="1" spans="1:26">
      <c r="A321" s="59"/>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1"/>
    </row>
    <row r="322" ht="15.75" customHeight="1" spans="1:26">
      <c r="A322" s="59"/>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1"/>
    </row>
    <row r="323" ht="15.75" customHeight="1" spans="1:26">
      <c r="A323" s="59"/>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1"/>
    </row>
    <row r="324" ht="15.75" customHeight="1" spans="1:26">
      <c r="A324" s="59"/>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1"/>
    </row>
    <row r="325" ht="15.75" customHeight="1" spans="1:26">
      <c r="A325" s="59"/>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1"/>
    </row>
    <row r="326" ht="15.75" customHeight="1" spans="1:26">
      <c r="A326" s="59"/>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1"/>
    </row>
    <row r="327" ht="15.75" customHeight="1" spans="1:26">
      <c r="A327" s="59"/>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1"/>
    </row>
    <row r="328" ht="15.75" customHeight="1" spans="1:26">
      <c r="A328" s="59"/>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1"/>
    </row>
    <row r="329" ht="15.75" customHeight="1" spans="1:26">
      <c r="A329" s="59"/>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1"/>
    </row>
    <row r="330" ht="15.75" customHeight="1" spans="1:26">
      <c r="A330" s="59"/>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1"/>
    </row>
    <row r="331" ht="15.75" customHeight="1" spans="1:26">
      <c r="A331" s="59"/>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1"/>
    </row>
    <row r="332" ht="15.75" customHeight="1" spans="1:26">
      <c r="A332" s="59"/>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1"/>
    </row>
    <row r="333" ht="15.75" customHeight="1" spans="1:26">
      <c r="A333" s="59"/>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1"/>
    </row>
    <row r="334" ht="15.75" customHeight="1" spans="1:26">
      <c r="A334" s="59"/>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1"/>
    </row>
    <row r="335" ht="15.75" customHeight="1" spans="1:26">
      <c r="A335" s="59"/>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1"/>
    </row>
    <row r="336" ht="15.75" customHeight="1" spans="1:26">
      <c r="A336" s="59"/>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1"/>
    </row>
    <row r="337" ht="15.75" customHeight="1" spans="1:26">
      <c r="A337" s="59"/>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1"/>
    </row>
    <row r="338" ht="15.75" customHeight="1" spans="1:26">
      <c r="A338" s="59"/>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1"/>
    </row>
    <row r="339" ht="15.75" customHeight="1" spans="1:26">
      <c r="A339" s="59"/>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1"/>
    </row>
    <row r="340" ht="15.75" customHeight="1" spans="1:26">
      <c r="A340" s="59"/>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1"/>
    </row>
    <row r="341" ht="15.75" customHeight="1" spans="1:26">
      <c r="A341" s="59"/>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1"/>
    </row>
    <row r="342" ht="15.75" customHeight="1" spans="1:26">
      <c r="A342" s="59"/>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1"/>
    </row>
    <row r="343" ht="15.75" customHeight="1" spans="1:26">
      <c r="A343" s="59"/>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1"/>
    </row>
    <row r="344" ht="15.75" customHeight="1" spans="1:26">
      <c r="A344" s="59"/>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1"/>
    </row>
    <row r="345" ht="15.75" customHeight="1" spans="1:26">
      <c r="A345" s="59"/>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1"/>
    </row>
    <row r="346" ht="15.75" customHeight="1" spans="1:26">
      <c r="A346" s="59"/>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1"/>
    </row>
    <row r="347" ht="15.75" customHeight="1" spans="1:26">
      <c r="A347" s="59"/>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1"/>
    </row>
    <row r="348" ht="15.75" customHeight="1" spans="1:26">
      <c r="A348" s="59"/>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1"/>
    </row>
    <row r="349" ht="15.75" customHeight="1" spans="1:26">
      <c r="A349" s="59"/>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1"/>
    </row>
    <row r="350" ht="15.75" customHeight="1" spans="1:26">
      <c r="A350" s="59"/>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1"/>
    </row>
    <row r="351" ht="15.75" customHeight="1" spans="1:26">
      <c r="A351" s="59"/>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1"/>
    </row>
    <row r="352" ht="15.75" customHeight="1" spans="1:26">
      <c r="A352" s="59"/>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1"/>
    </row>
    <row r="353" ht="15.75" customHeight="1" spans="1:26">
      <c r="A353" s="59"/>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1"/>
    </row>
    <row r="354" ht="15.75" customHeight="1" spans="1:26">
      <c r="A354" s="59"/>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1"/>
    </row>
    <row r="355" ht="15.75" customHeight="1" spans="1:26">
      <c r="A355" s="59"/>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1"/>
    </row>
    <row r="356" ht="15.75" customHeight="1" spans="1:26">
      <c r="A356" s="59"/>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1"/>
    </row>
    <row r="357" ht="15.75" customHeight="1" spans="1:26">
      <c r="A357" s="59"/>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1"/>
    </row>
    <row r="358" ht="15.75" customHeight="1" spans="1:26">
      <c r="A358" s="59"/>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1"/>
    </row>
    <row r="359" ht="15.75" customHeight="1" spans="1:26">
      <c r="A359" s="59"/>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1"/>
    </row>
    <row r="360" ht="15.75" customHeight="1" spans="1:26">
      <c r="A360" s="59"/>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1"/>
    </row>
    <row r="361" ht="15.75" customHeight="1" spans="1:26">
      <c r="A361" s="59"/>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1"/>
    </row>
    <row r="362" ht="15.75" customHeight="1" spans="1:26">
      <c r="A362" s="59"/>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1"/>
    </row>
    <row r="363" ht="15.75" customHeight="1" spans="1:26">
      <c r="A363" s="59"/>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1"/>
    </row>
    <row r="364" ht="15.75" customHeight="1" spans="1:26">
      <c r="A364" s="59"/>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1"/>
    </row>
    <row r="365" ht="15.75" customHeight="1" spans="1:26">
      <c r="A365" s="59"/>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1"/>
    </row>
    <row r="366" ht="15.75" customHeight="1" spans="1:26">
      <c r="A366" s="59"/>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1"/>
    </row>
    <row r="367" ht="15.75" customHeight="1" spans="1:26">
      <c r="A367" s="59"/>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1"/>
    </row>
    <row r="368" ht="15.75" customHeight="1" spans="1:26">
      <c r="A368" s="59"/>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1"/>
    </row>
    <row r="369" ht="15.75" customHeight="1" spans="1:26">
      <c r="A369" s="59"/>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1"/>
    </row>
    <row r="370" ht="15.75" customHeight="1" spans="1:26">
      <c r="A370" s="59"/>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1"/>
    </row>
    <row r="371" ht="15.75" customHeight="1" spans="1:26">
      <c r="A371" s="59"/>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1"/>
    </row>
    <row r="372" ht="15.75" customHeight="1" spans="1:26">
      <c r="A372" s="59"/>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1"/>
    </row>
    <row r="373" ht="15.75" customHeight="1" spans="1:26">
      <c r="A373" s="59"/>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1"/>
    </row>
    <row r="374" ht="15.75" customHeight="1" spans="1:26">
      <c r="A374" s="59"/>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1"/>
    </row>
    <row r="375" ht="15.75" customHeight="1" spans="1:26">
      <c r="A375" s="59"/>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1"/>
    </row>
    <row r="376" ht="15.75" customHeight="1" spans="1:26">
      <c r="A376" s="59"/>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1"/>
    </row>
    <row r="377" ht="15.75" customHeight="1" spans="1:26">
      <c r="A377" s="59"/>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1"/>
    </row>
    <row r="378" ht="15.75" customHeight="1" spans="1:26">
      <c r="A378" s="59"/>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1"/>
    </row>
    <row r="379" ht="15.75" customHeight="1" spans="1:26">
      <c r="A379" s="59"/>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1"/>
    </row>
    <row r="380" ht="15.75" customHeight="1" spans="1:26">
      <c r="A380" s="59"/>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1"/>
    </row>
    <row r="381" ht="15.75" customHeight="1" spans="1:26">
      <c r="A381" s="59"/>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1"/>
    </row>
    <row r="382" ht="15.75" customHeight="1" spans="1:26">
      <c r="A382" s="59"/>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1"/>
    </row>
    <row r="383" ht="15.75" customHeight="1" spans="1:26">
      <c r="A383" s="59"/>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1"/>
    </row>
    <row r="384" ht="15.75" customHeight="1" spans="1:26">
      <c r="A384" s="59"/>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1"/>
    </row>
    <row r="385" ht="15.75" customHeight="1" spans="1:26">
      <c r="A385" s="59"/>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1"/>
    </row>
    <row r="386" ht="15.75" customHeight="1" spans="1:26">
      <c r="A386" s="59"/>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1"/>
    </row>
    <row r="387" ht="15.75" customHeight="1" spans="1:26">
      <c r="A387" s="59"/>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1"/>
    </row>
    <row r="388" ht="15.75" customHeight="1" spans="1:26">
      <c r="A388" s="59"/>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1"/>
    </row>
    <row r="389" ht="15.75" customHeight="1" spans="1:26">
      <c r="A389" s="59"/>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1"/>
    </row>
    <row r="390" ht="15.75" customHeight="1" spans="1:26">
      <c r="A390" s="59"/>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1"/>
    </row>
    <row r="391" ht="15.75" customHeight="1" spans="1:26">
      <c r="A391" s="59"/>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1"/>
    </row>
    <row r="392" ht="15.75" customHeight="1" spans="1:26">
      <c r="A392" s="59"/>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1"/>
    </row>
    <row r="393" ht="15.75" customHeight="1" spans="1:26">
      <c r="A393" s="59"/>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1"/>
    </row>
    <row r="394" ht="15.75" customHeight="1" spans="1:26">
      <c r="A394" s="59"/>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1"/>
    </row>
    <row r="395" ht="15.75" customHeight="1" spans="1:26">
      <c r="A395" s="59"/>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1"/>
    </row>
    <row r="396" ht="15.75" customHeight="1" spans="1:26">
      <c r="A396" s="59"/>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1"/>
    </row>
    <row r="397" ht="15.75" customHeight="1" spans="1:26">
      <c r="A397" s="59"/>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1"/>
    </row>
    <row r="398" ht="15.75" customHeight="1" spans="1:26">
      <c r="A398" s="59"/>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1"/>
    </row>
    <row r="399" ht="15.75" customHeight="1" spans="1:26">
      <c r="A399" s="59"/>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1"/>
    </row>
    <row r="400" ht="15.75" customHeight="1" spans="1:26">
      <c r="A400" s="59"/>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1"/>
    </row>
    <row r="401" ht="15.75" customHeight="1" spans="1:26">
      <c r="A401" s="59"/>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1"/>
    </row>
    <row r="402" ht="15.75" customHeight="1" spans="1:26">
      <c r="A402" s="59"/>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1"/>
    </row>
    <row r="403" ht="15.75" customHeight="1" spans="1:26">
      <c r="A403" s="59"/>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1"/>
    </row>
    <row r="404" ht="15.75" customHeight="1" spans="1:26">
      <c r="A404" s="59"/>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1"/>
    </row>
    <row r="405" ht="15.75" customHeight="1" spans="1:26">
      <c r="A405" s="59"/>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1"/>
    </row>
    <row r="406" ht="15.75" customHeight="1" spans="1:26">
      <c r="A406" s="59"/>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1"/>
    </row>
    <row r="407" ht="15.75" customHeight="1" spans="1:26">
      <c r="A407" s="59"/>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1"/>
    </row>
    <row r="408" ht="15.75" customHeight="1" spans="1:26">
      <c r="A408" s="59"/>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1"/>
    </row>
    <row r="409" ht="15.75" customHeight="1" spans="1:26">
      <c r="A409" s="59"/>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1"/>
    </row>
    <row r="410" ht="15.75" customHeight="1" spans="1:26">
      <c r="A410" s="59"/>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1"/>
    </row>
    <row r="411" ht="15.75" customHeight="1" spans="1:26">
      <c r="A411" s="59"/>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1"/>
    </row>
    <row r="412" ht="15.75" customHeight="1" spans="1:26">
      <c r="A412" s="59"/>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1"/>
    </row>
    <row r="413" ht="15.75" customHeight="1" spans="1:26">
      <c r="A413" s="59"/>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1"/>
    </row>
    <row r="414" ht="15.75" customHeight="1" spans="1:26">
      <c r="A414" s="59"/>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1"/>
    </row>
    <row r="415" ht="15.75" customHeight="1" spans="1:26">
      <c r="A415" s="59"/>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1"/>
    </row>
    <row r="416" ht="15.75" customHeight="1" spans="1:26">
      <c r="A416" s="59"/>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1"/>
    </row>
    <row r="417" ht="15.75" customHeight="1" spans="1:26">
      <c r="A417" s="59"/>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1"/>
    </row>
    <row r="418" ht="15.75" customHeight="1" spans="1:26">
      <c r="A418" s="59"/>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1"/>
    </row>
    <row r="419" ht="15.75" customHeight="1" spans="1:26">
      <c r="A419" s="59"/>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1"/>
    </row>
    <row r="420" ht="15.75" customHeight="1" spans="1:26">
      <c r="A420" s="59"/>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1"/>
    </row>
    <row r="421" ht="15.75" customHeight="1" spans="1:26">
      <c r="A421" s="59"/>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1"/>
    </row>
    <row r="422" ht="15.75" customHeight="1" spans="1:26">
      <c r="A422" s="59"/>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1"/>
    </row>
    <row r="423" ht="15.75" customHeight="1" spans="1:26">
      <c r="A423" s="59"/>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1"/>
    </row>
    <row r="424" ht="15.75" customHeight="1" spans="1:26">
      <c r="A424" s="59"/>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1"/>
    </row>
    <row r="425" ht="15.75" customHeight="1" spans="1:26">
      <c r="A425" s="59"/>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1"/>
    </row>
    <row r="426" ht="15.75" customHeight="1" spans="1:26">
      <c r="A426" s="59"/>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1"/>
    </row>
    <row r="427" ht="15.75" customHeight="1" spans="1:26">
      <c r="A427" s="59"/>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1"/>
    </row>
    <row r="428" ht="15.75" customHeight="1" spans="1:26">
      <c r="A428" s="59"/>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1"/>
    </row>
    <row r="429" ht="15.75" customHeight="1" spans="1:26">
      <c r="A429" s="59"/>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1"/>
    </row>
    <row r="430" ht="15.75" customHeight="1" spans="1:26">
      <c r="A430" s="59"/>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1"/>
    </row>
    <row r="431" ht="15.75" customHeight="1" spans="1:26">
      <c r="A431" s="59"/>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1"/>
    </row>
    <row r="432" ht="15.75" customHeight="1" spans="1:26">
      <c r="A432" s="59"/>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1"/>
    </row>
    <row r="433" ht="15.75" customHeight="1" spans="1:26">
      <c r="A433" s="59"/>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1"/>
    </row>
    <row r="434" ht="15.75" customHeight="1" spans="1:26">
      <c r="A434" s="59"/>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1"/>
    </row>
    <row r="435" ht="15.75" customHeight="1" spans="1:26">
      <c r="A435" s="59"/>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1"/>
    </row>
    <row r="436" ht="15.75" customHeight="1" spans="1:26">
      <c r="A436" s="59"/>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1"/>
    </row>
    <row r="437" ht="15.75" customHeight="1" spans="1:26">
      <c r="A437" s="59"/>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1"/>
    </row>
    <row r="438" ht="15.75" customHeight="1" spans="1:26">
      <c r="A438" s="59"/>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1"/>
    </row>
    <row r="439" ht="15.75" customHeight="1" spans="1:26">
      <c r="A439" s="59"/>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1"/>
    </row>
    <row r="440" ht="15.75" customHeight="1" spans="1:26">
      <c r="A440" s="59"/>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1"/>
    </row>
    <row r="441" ht="15.75" customHeight="1" spans="1:26">
      <c r="A441" s="59"/>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1"/>
    </row>
    <row r="442" ht="15.75" customHeight="1" spans="1:26">
      <c r="A442" s="59"/>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1"/>
    </row>
    <row r="443" ht="15.75" customHeight="1" spans="1:26">
      <c r="A443" s="59"/>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1"/>
    </row>
    <row r="444" ht="15.75" customHeight="1" spans="1:26">
      <c r="A444" s="59"/>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1"/>
    </row>
    <row r="445" ht="15.75" customHeight="1" spans="1:26">
      <c r="A445" s="59"/>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1"/>
    </row>
    <row r="446" ht="15.75" customHeight="1" spans="1:26">
      <c r="A446" s="59"/>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1"/>
    </row>
    <row r="447" ht="15.75" customHeight="1" spans="1:26">
      <c r="A447" s="59"/>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1"/>
    </row>
    <row r="448" ht="15.75" customHeight="1" spans="1:26">
      <c r="A448" s="59"/>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1"/>
    </row>
    <row r="449" ht="15.75" customHeight="1" spans="1:26">
      <c r="A449" s="59"/>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1"/>
    </row>
    <row r="450" ht="15.75" customHeight="1" spans="1:26">
      <c r="A450" s="59"/>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1"/>
    </row>
    <row r="451" ht="15.75" customHeight="1" spans="1:26">
      <c r="A451" s="59"/>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1"/>
    </row>
    <row r="452" ht="15.75" customHeight="1" spans="1:26">
      <c r="A452" s="59"/>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1"/>
    </row>
    <row r="453" ht="15.75" customHeight="1" spans="1:26">
      <c r="A453" s="59"/>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1"/>
    </row>
    <row r="454" ht="15.75" customHeight="1" spans="1:26">
      <c r="A454" s="59"/>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1"/>
    </row>
    <row r="455" ht="15.75" customHeight="1" spans="1:26">
      <c r="A455" s="59"/>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1"/>
    </row>
    <row r="456" ht="15.75" customHeight="1" spans="1:26">
      <c r="A456" s="59"/>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1"/>
    </row>
    <row r="457" ht="15.75" customHeight="1" spans="1:26">
      <c r="A457" s="59"/>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1"/>
    </row>
    <row r="458" ht="15.75" customHeight="1" spans="1:26">
      <c r="A458" s="59"/>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1"/>
    </row>
    <row r="459" ht="15.75" customHeight="1" spans="1:26">
      <c r="A459" s="59"/>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1"/>
    </row>
    <row r="460" ht="15.75" customHeight="1" spans="1:26">
      <c r="A460" s="59"/>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1"/>
    </row>
    <row r="461" ht="15.75" customHeight="1" spans="1:26">
      <c r="A461" s="59"/>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1"/>
    </row>
    <row r="462" ht="15.75" customHeight="1" spans="1:26">
      <c r="A462" s="59"/>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1"/>
    </row>
    <row r="463" ht="15.75" customHeight="1" spans="1:26">
      <c r="A463" s="59"/>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1"/>
    </row>
    <row r="464" ht="15.75" customHeight="1" spans="1:26">
      <c r="A464" s="59"/>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1"/>
    </row>
    <row r="465" ht="15.75" customHeight="1" spans="1:26">
      <c r="A465" s="59"/>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1"/>
    </row>
    <row r="466" ht="15.75" customHeight="1" spans="1:26">
      <c r="A466" s="59"/>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1"/>
    </row>
    <row r="467" ht="15.75" customHeight="1" spans="1:26">
      <c r="A467" s="59"/>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1"/>
    </row>
    <row r="468" ht="15.75" customHeight="1" spans="1:26">
      <c r="A468" s="59"/>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1"/>
    </row>
    <row r="469" ht="15.75" customHeight="1" spans="1:26">
      <c r="A469" s="59"/>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1"/>
    </row>
    <row r="470" ht="15.75" customHeight="1" spans="1:26">
      <c r="A470" s="59"/>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1"/>
    </row>
    <row r="471" ht="15.75" customHeight="1" spans="1:26">
      <c r="A471" s="59"/>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1"/>
    </row>
    <row r="472" ht="15.75" customHeight="1" spans="1:26">
      <c r="A472" s="59"/>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1"/>
    </row>
    <row r="473" ht="15.75" customHeight="1" spans="1:26">
      <c r="A473" s="59"/>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1"/>
    </row>
    <row r="474" ht="15.75" customHeight="1" spans="1:26">
      <c r="A474" s="59"/>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1"/>
    </row>
    <row r="475" ht="15.75" customHeight="1" spans="1:26">
      <c r="A475" s="59"/>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1"/>
    </row>
    <row r="476" ht="15.75" customHeight="1" spans="1:26">
      <c r="A476" s="59"/>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1"/>
    </row>
    <row r="477" ht="15.75" customHeight="1" spans="1:26">
      <c r="A477" s="59"/>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1"/>
    </row>
    <row r="478" ht="15.75" customHeight="1" spans="1:26">
      <c r="A478" s="59"/>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1"/>
    </row>
    <row r="479" ht="15.75" customHeight="1" spans="1:26">
      <c r="A479" s="59"/>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1"/>
    </row>
    <row r="480" ht="15.75" customHeight="1" spans="1:26">
      <c r="A480" s="59"/>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1"/>
    </row>
    <row r="481" ht="15.75" customHeight="1" spans="1:26">
      <c r="A481" s="59"/>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1"/>
    </row>
    <row r="482" ht="15.75" customHeight="1" spans="1:26">
      <c r="A482" s="59"/>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1"/>
    </row>
    <row r="483" ht="15.75" customHeight="1" spans="1:26">
      <c r="A483" s="59"/>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1"/>
    </row>
    <row r="484" ht="15.75" customHeight="1" spans="1:26">
      <c r="A484" s="59"/>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1"/>
    </row>
    <row r="485" ht="15.75" customHeight="1" spans="1:26">
      <c r="A485" s="59"/>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1"/>
    </row>
    <row r="486" ht="15.75" customHeight="1" spans="1:26">
      <c r="A486" s="59"/>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1"/>
    </row>
    <row r="487" ht="15.75" customHeight="1" spans="1:26">
      <c r="A487" s="59"/>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1"/>
    </row>
    <row r="488" ht="15.75" customHeight="1" spans="1:26">
      <c r="A488" s="59"/>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1"/>
    </row>
    <row r="489" ht="15.75" customHeight="1" spans="1:26">
      <c r="A489" s="59"/>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1"/>
    </row>
    <row r="490" ht="15.75" customHeight="1" spans="1:26">
      <c r="A490" s="59"/>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1"/>
    </row>
    <row r="491" ht="15.75" customHeight="1" spans="1:26">
      <c r="A491" s="59"/>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1"/>
    </row>
    <row r="492" ht="15.75" customHeight="1" spans="1:26">
      <c r="A492" s="59"/>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1"/>
    </row>
    <row r="493" ht="15.75" customHeight="1" spans="1:26">
      <c r="A493" s="59"/>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1"/>
    </row>
    <row r="494" ht="15.75" customHeight="1" spans="1:26">
      <c r="A494" s="59"/>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1"/>
    </row>
    <row r="495" ht="15.75" customHeight="1" spans="1:26">
      <c r="A495" s="59"/>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1"/>
    </row>
    <row r="496" ht="15.75" customHeight="1" spans="1:26">
      <c r="A496" s="59"/>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1"/>
    </row>
    <row r="497" ht="15.75" customHeight="1" spans="1:26">
      <c r="A497" s="59"/>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1"/>
    </row>
    <row r="498" ht="15.75" customHeight="1" spans="1:26">
      <c r="A498" s="59"/>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1"/>
    </row>
    <row r="499" ht="15.75" customHeight="1" spans="1:26">
      <c r="A499" s="59"/>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1"/>
    </row>
    <row r="500" ht="15.75" customHeight="1" spans="1:26">
      <c r="A500" s="59"/>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1"/>
    </row>
    <row r="501" ht="15.75" customHeight="1" spans="1:26">
      <c r="A501" s="59"/>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1"/>
    </row>
    <row r="502" ht="15.75" customHeight="1" spans="1:26">
      <c r="A502" s="59"/>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1"/>
    </row>
    <row r="503" ht="15.75" customHeight="1" spans="1:26">
      <c r="A503" s="59"/>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1"/>
    </row>
    <row r="504" ht="15.75" customHeight="1" spans="1:26">
      <c r="A504" s="59"/>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1"/>
    </row>
    <row r="505" ht="15.75" customHeight="1" spans="1:26">
      <c r="A505" s="59"/>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1"/>
    </row>
    <row r="506" ht="15.75" customHeight="1" spans="1:26">
      <c r="A506" s="59"/>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1"/>
    </row>
    <row r="507" ht="15.75" customHeight="1" spans="1:26">
      <c r="A507" s="59"/>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1"/>
    </row>
    <row r="508" ht="15.75" customHeight="1" spans="1:26">
      <c r="A508" s="59"/>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1"/>
    </row>
    <row r="509" ht="15.75" customHeight="1" spans="1:26">
      <c r="A509" s="59"/>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1"/>
    </row>
    <row r="510" ht="15.75" customHeight="1" spans="1:26">
      <c r="A510" s="59"/>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1"/>
    </row>
    <row r="511" ht="15.75" customHeight="1" spans="1:26">
      <c r="A511" s="59"/>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1"/>
    </row>
    <row r="512" ht="15.75" customHeight="1" spans="1:26">
      <c r="A512" s="59"/>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1"/>
    </row>
    <row r="513" ht="15.75" customHeight="1" spans="1:26">
      <c r="A513" s="59"/>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1"/>
    </row>
    <row r="514" ht="15.75" customHeight="1" spans="1:26">
      <c r="A514" s="59"/>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1"/>
    </row>
    <row r="515" ht="15.75" customHeight="1" spans="1:26">
      <c r="A515" s="59"/>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1"/>
    </row>
    <row r="516" ht="15.75" customHeight="1" spans="1:26">
      <c r="A516" s="59"/>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1"/>
    </row>
    <row r="517" ht="15.75" customHeight="1" spans="1:26">
      <c r="A517" s="59"/>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1"/>
    </row>
    <row r="518" ht="15.75" customHeight="1" spans="1:26">
      <c r="A518" s="59"/>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1"/>
    </row>
    <row r="519" ht="15.75" customHeight="1" spans="1:26">
      <c r="A519" s="59"/>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1"/>
    </row>
    <row r="520" ht="15.75" customHeight="1" spans="1:26">
      <c r="A520" s="59"/>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1"/>
    </row>
    <row r="521" ht="15.75" customHeight="1" spans="1:26">
      <c r="A521" s="59"/>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1"/>
    </row>
    <row r="522" ht="15.75" customHeight="1" spans="1:26">
      <c r="A522" s="59"/>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1"/>
    </row>
    <row r="523" ht="15.75" customHeight="1" spans="1:26">
      <c r="A523" s="59"/>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1"/>
    </row>
    <row r="524" ht="15.75" customHeight="1" spans="1:26">
      <c r="A524" s="59"/>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1"/>
    </row>
    <row r="525" ht="15.75" customHeight="1" spans="1:26">
      <c r="A525" s="59"/>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1"/>
    </row>
    <row r="526" ht="15.75" customHeight="1" spans="1:26">
      <c r="A526" s="59"/>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1"/>
    </row>
    <row r="527" ht="15.75" customHeight="1" spans="1:26">
      <c r="A527" s="59"/>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1"/>
    </row>
    <row r="528" ht="15.75" customHeight="1" spans="1:26">
      <c r="A528" s="59"/>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1"/>
    </row>
    <row r="529" ht="15.75" customHeight="1" spans="1:26">
      <c r="A529" s="59"/>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1"/>
    </row>
    <row r="530" ht="15.75" customHeight="1" spans="1:26">
      <c r="A530" s="59"/>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1"/>
    </row>
    <row r="531" ht="15.75" customHeight="1" spans="1:26">
      <c r="A531" s="59"/>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1"/>
    </row>
    <row r="532" ht="15.75" customHeight="1" spans="1:26">
      <c r="A532" s="59"/>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1"/>
    </row>
    <row r="533" ht="15.75" customHeight="1" spans="1:26">
      <c r="A533" s="59"/>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1"/>
    </row>
    <row r="534" ht="15.75" customHeight="1" spans="1:26">
      <c r="A534" s="59"/>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1"/>
    </row>
    <row r="535" ht="15.75" customHeight="1" spans="1:26">
      <c r="A535" s="59"/>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1"/>
    </row>
    <row r="536" ht="15.75" customHeight="1" spans="1:26">
      <c r="A536" s="59"/>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1"/>
    </row>
    <row r="537" ht="15.75" customHeight="1" spans="1:26">
      <c r="A537" s="59"/>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1"/>
    </row>
    <row r="538" ht="15.75" customHeight="1" spans="1:26">
      <c r="A538" s="59"/>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1"/>
    </row>
    <row r="539" ht="15.75" customHeight="1" spans="1:26">
      <c r="A539" s="59"/>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1"/>
    </row>
    <row r="540" ht="15.75" customHeight="1" spans="1:26">
      <c r="A540" s="59"/>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1"/>
    </row>
    <row r="541" ht="15.75" customHeight="1" spans="1:26">
      <c r="A541" s="59"/>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1"/>
    </row>
    <row r="542" ht="15.75" customHeight="1" spans="1:26">
      <c r="A542" s="59"/>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1"/>
    </row>
    <row r="543" ht="15.75" customHeight="1" spans="1:26">
      <c r="A543" s="59"/>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1"/>
    </row>
    <row r="544" ht="15.75" customHeight="1" spans="1:26">
      <c r="A544" s="59"/>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1"/>
    </row>
    <row r="545" ht="15.75" customHeight="1" spans="1:26">
      <c r="A545" s="59"/>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1"/>
    </row>
    <row r="546" ht="15.75" customHeight="1" spans="1:26">
      <c r="A546" s="59"/>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1"/>
    </row>
    <row r="547" ht="15.75" customHeight="1" spans="1:26">
      <c r="A547" s="59"/>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1"/>
    </row>
    <row r="548" ht="15.75" customHeight="1" spans="1:26">
      <c r="A548" s="59"/>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1"/>
    </row>
    <row r="549" ht="15.75" customHeight="1" spans="1:26">
      <c r="A549" s="59"/>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1"/>
    </row>
    <row r="550" ht="15.75" customHeight="1" spans="1:26">
      <c r="A550" s="59"/>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1"/>
    </row>
    <row r="551" ht="15.75" customHeight="1" spans="1:26">
      <c r="A551" s="59"/>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1"/>
    </row>
    <row r="552" ht="15.75" customHeight="1" spans="1:26">
      <c r="A552" s="59"/>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1"/>
    </row>
    <row r="553" ht="15.75" customHeight="1" spans="1:26">
      <c r="A553" s="59"/>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1"/>
    </row>
    <row r="554" ht="15.75" customHeight="1" spans="1:26">
      <c r="A554" s="59"/>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1"/>
    </row>
    <row r="555" ht="15.75" customHeight="1" spans="1:26">
      <c r="A555" s="59"/>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1"/>
    </row>
    <row r="556" ht="15.75" customHeight="1" spans="1:26">
      <c r="A556" s="59"/>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1"/>
    </row>
    <row r="557" ht="15.75" customHeight="1" spans="1:26">
      <c r="A557" s="59"/>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1"/>
    </row>
    <row r="558" ht="15.75" customHeight="1" spans="1:26">
      <c r="A558" s="59"/>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1"/>
    </row>
    <row r="559" ht="15.75" customHeight="1" spans="1:26">
      <c r="A559" s="59"/>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1"/>
    </row>
    <row r="560" ht="15.75" customHeight="1" spans="1:26">
      <c r="A560" s="59"/>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1"/>
    </row>
    <row r="561" ht="15.75" customHeight="1" spans="1:26">
      <c r="A561" s="59"/>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1"/>
    </row>
    <row r="562" ht="15.75" customHeight="1" spans="1:26">
      <c r="A562" s="59"/>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1"/>
    </row>
    <row r="563" ht="15.75" customHeight="1" spans="1:26">
      <c r="A563" s="59"/>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1"/>
    </row>
    <row r="564" ht="15.75" customHeight="1" spans="1:26">
      <c r="A564" s="59"/>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1"/>
    </row>
    <row r="565" ht="15.75" customHeight="1" spans="1:26">
      <c r="A565" s="59"/>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1"/>
    </row>
    <row r="566" ht="15.75" customHeight="1" spans="1:26">
      <c r="A566" s="59"/>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1"/>
    </row>
    <row r="567" ht="15.75" customHeight="1" spans="1:26">
      <c r="A567" s="59"/>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1"/>
    </row>
    <row r="568" ht="15.75" customHeight="1" spans="1:26">
      <c r="A568" s="59"/>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1"/>
    </row>
    <row r="569" ht="15.75" customHeight="1" spans="1:26">
      <c r="A569" s="59"/>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1"/>
    </row>
    <row r="570" ht="15.75" customHeight="1" spans="1:26">
      <c r="A570" s="59"/>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1"/>
    </row>
    <row r="571" ht="15.75" customHeight="1" spans="1:26">
      <c r="A571" s="59"/>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1"/>
    </row>
    <row r="572" ht="15.75" customHeight="1" spans="1:26">
      <c r="A572" s="59"/>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1"/>
    </row>
    <row r="573" ht="15.75" customHeight="1" spans="1:26">
      <c r="A573" s="59"/>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1"/>
    </row>
    <row r="574" ht="15.75" customHeight="1" spans="1:26">
      <c r="A574" s="59"/>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1"/>
    </row>
    <row r="575" ht="15.75" customHeight="1" spans="1:26">
      <c r="A575" s="59"/>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1"/>
    </row>
    <row r="576" ht="15.75" customHeight="1" spans="1:26">
      <c r="A576" s="59"/>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1"/>
    </row>
    <row r="577" ht="15.75" customHeight="1" spans="1:26">
      <c r="A577" s="59"/>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1"/>
    </row>
    <row r="578" ht="15.75" customHeight="1" spans="1:26">
      <c r="A578" s="59"/>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1"/>
    </row>
    <row r="579" ht="15.75" customHeight="1" spans="1:26">
      <c r="A579" s="59"/>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1"/>
    </row>
    <row r="580" ht="15.75" customHeight="1" spans="1:26">
      <c r="A580" s="59"/>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1"/>
    </row>
    <row r="581" ht="15.75" customHeight="1" spans="1:26">
      <c r="A581" s="59"/>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1"/>
    </row>
    <row r="582" ht="15.75" customHeight="1" spans="1:26">
      <c r="A582" s="59"/>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1"/>
    </row>
    <row r="583" ht="15.75" customHeight="1" spans="1:26">
      <c r="A583" s="59"/>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1"/>
    </row>
    <row r="584" ht="15.75" customHeight="1" spans="1:26">
      <c r="A584" s="59"/>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1"/>
    </row>
    <row r="585" ht="15.75" customHeight="1" spans="1:26">
      <c r="A585" s="59"/>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1"/>
    </row>
    <row r="586" ht="15.75" customHeight="1" spans="1:26">
      <c r="A586" s="59"/>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1"/>
    </row>
    <row r="587" ht="15.75" customHeight="1" spans="1:26">
      <c r="A587" s="59"/>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1"/>
    </row>
    <row r="588" ht="15.75" customHeight="1" spans="1:26">
      <c r="A588" s="59"/>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1"/>
    </row>
    <row r="589" ht="15.75" customHeight="1" spans="1:26">
      <c r="A589" s="59"/>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1"/>
    </row>
    <row r="590" ht="15.75" customHeight="1" spans="1:26">
      <c r="A590" s="59"/>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1"/>
    </row>
    <row r="591" ht="15.75" customHeight="1" spans="1:26">
      <c r="A591" s="59"/>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1"/>
    </row>
    <row r="592" ht="15.75" customHeight="1" spans="1:26">
      <c r="A592" s="59"/>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1"/>
    </row>
    <row r="593" ht="15.75" customHeight="1" spans="1:26">
      <c r="A593" s="59"/>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1"/>
    </row>
    <row r="594" ht="15.75" customHeight="1" spans="1:26">
      <c r="A594" s="59"/>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1"/>
    </row>
    <row r="595" ht="15.75" customHeight="1" spans="1:26">
      <c r="A595" s="59"/>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1"/>
    </row>
    <row r="596" ht="15.75" customHeight="1" spans="1:26">
      <c r="A596" s="59"/>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1"/>
    </row>
    <row r="597" ht="15.75" customHeight="1" spans="1:26">
      <c r="A597" s="59"/>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1"/>
    </row>
    <row r="598" ht="15.75" customHeight="1" spans="1:26">
      <c r="A598" s="59"/>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1"/>
    </row>
    <row r="599" ht="15.75" customHeight="1" spans="1:26">
      <c r="A599" s="59"/>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1"/>
    </row>
    <row r="600" ht="15.75" customHeight="1" spans="1:26">
      <c r="A600" s="59"/>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1"/>
    </row>
    <row r="601" ht="15.75" customHeight="1" spans="1:26">
      <c r="A601" s="59"/>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1"/>
    </row>
    <row r="602" ht="15.75" customHeight="1" spans="1:26">
      <c r="A602" s="59"/>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1"/>
    </row>
    <row r="603" ht="15.75" customHeight="1" spans="1:26">
      <c r="A603" s="59"/>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1"/>
    </row>
    <row r="604" ht="15.75" customHeight="1" spans="1:26">
      <c r="A604" s="59"/>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1"/>
    </row>
    <row r="605" ht="15.75" customHeight="1" spans="1:26">
      <c r="A605" s="59"/>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1"/>
    </row>
    <row r="606" ht="15.75" customHeight="1" spans="1:26">
      <c r="A606" s="59"/>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1"/>
    </row>
    <row r="607" ht="15.75" customHeight="1" spans="1:26">
      <c r="A607" s="59"/>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1"/>
    </row>
    <row r="608" ht="15.75" customHeight="1" spans="1:26">
      <c r="A608" s="59"/>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1"/>
    </row>
    <row r="609" ht="15.75" customHeight="1" spans="1:26">
      <c r="A609" s="59"/>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1"/>
    </row>
    <row r="610" ht="15.75" customHeight="1" spans="1:26">
      <c r="A610" s="59"/>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1"/>
    </row>
    <row r="611" ht="15.75" customHeight="1" spans="1:26">
      <c r="A611" s="59"/>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1"/>
    </row>
    <row r="612" ht="15.75" customHeight="1" spans="1:26">
      <c r="A612" s="59"/>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1"/>
    </row>
    <row r="613" ht="15.75" customHeight="1" spans="1:26">
      <c r="A613" s="59"/>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1"/>
    </row>
    <row r="614" ht="15.75" customHeight="1" spans="1:26">
      <c r="A614" s="59"/>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1"/>
    </row>
    <row r="615" ht="15.75" customHeight="1" spans="1:26">
      <c r="A615" s="59"/>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1"/>
    </row>
    <row r="616" ht="15.75" customHeight="1" spans="1:26">
      <c r="A616" s="59"/>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1"/>
    </row>
    <row r="617" ht="15.75" customHeight="1" spans="1:26">
      <c r="A617" s="59"/>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1"/>
    </row>
    <row r="618" ht="15.75" customHeight="1" spans="1:26">
      <c r="A618" s="59"/>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1"/>
    </row>
    <row r="619" ht="15.75" customHeight="1" spans="1:26">
      <c r="A619" s="59"/>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1"/>
    </row>
    <row r="620" ht="15.75" customHeight="1" spans="1:26">
      <c r="A620" s="59"/>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1"/>
    </row>
    <row r="621" ht="15.75" customHeight="1" spans="1:26">
      <c r="A621" s="59"/>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1"/>
    </row>
    <row r="622" ht="15.75" customHeight="1" spans="1:26">
      <c r="A622" s="59"/>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1"/>
    </row>
    <row r="623" ht="15.75" customHeight="1" spans="1:26">
      <c r="A623" s="59"/>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1"/>
    </row>
    <row r="624" ht="15.75" customHeight="1" spans="1:26">
      <c r="A624" s="59"/>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1"/>
    </row>
    <row r="625" ht="15.75" customHeight="1" spans="1:26">
      <c r="A625" s="59"/>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1"/>
    </row>
    <row r="626" ht="15.75" customHeight="1" spans="1:26">
      <c r="A626" s="59"/>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1"/>
    </row>
    <row r="627" ht="15.75" customHeight="1" spans="1:26">
      <c r="A627" s="59"/>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1"/>
    </row>
    <row r="628" ht="15.75" customHeight="1" spans="1:26">
      <c r="A628" s="59"/>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1"/>
    </row>
    <row r="629" ht="15.75" customHeight="1" spans="1:26">
      <c r="A629" s="59"/>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1"/>
    </row>
    <row r="630" ht="15.75" customHeight="1" spans="1:26">
      <c r="A630" s="59"/>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1"/>
    </row>
    <row r="631" ht="15.75" customHeight="1" spans="1:26">
      <c r="A631" s="59"/>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1"/>
    </row>
    <row r="632" ht="15.75" customHeight="1" spans="1:26">
      <c r="A632" s="59"/>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1"/>
    </row>
    <row r="633" ht="15.75" customHeight="1" spans="1:26">
      <c r="A633" s="59"/>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1"/>
    </row>
    <row r="634" ht="15.75" customHeight="1" spans="1:26">
      <c r="A634" s="59"/>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1"/>
    </row>
    <row r="635" ht="15.75" customHeight="1" spans="1:26">
      <c r="A635" s="59"/>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1"/>
    </row>
    <row r="636" ht="15.75" customHeight="1" spans="1:26">
      <c r="A636" s="59"/>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1"/>
    </row>
    <row r="637" ht="15.75" customHeight="1" spans="1:26">
      <c r="A637" s="59"/>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1"/>
    </row>
    <row r="638" ht="15.75" customHeight="1" spans="1:26">
      <c r="A638" s="59"/>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1"/>
    </row>
    <row r="639" ht="15.75" customHeight="1" spans="1:26">
      <c r="A639" s="59"/>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1"/>
    </row>
    <row r="640" ht="15.75" customHeight="1" spans="1:26">
      <c r="A640" s="59"/>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1"/>
    </row>
    <row r="641" ht="15.75" customHeight="1" spans="1:26">
      <c r="A641" s="59"/>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1"/>
    </row>
    <row r="642" ht="15.75" customHeight="1" spans="1:26">
      <c r="A642" s="59"/>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1"/>
    </row>
    <row r="643" ht="15.75" customHeight="1" spans="1:26">
      <c r="A643" s="59"/>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1"/>
    </row>
    <row r="644" ht="15.75" customHeight="1" spans="1:26">
      <c r="A644" s="59"/>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1"/>
    </row>
    <row r="645" ht="15.75" customHeight="1" spans="1:26">
      <c r="A645" s="59"/>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1"/>
    </row>
    <row r="646" ht="15.75" customHeight="1" spans="1:26">
      <c r="A646" s="59"/>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1"/>
    </row>
    <row r="647" ht="15.75" customHeight="1" spans="1:26">
      <c r="A647" s="59"/>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1"/>
    </row>
    <row r="648" ht="15.75" customHeight="1" spans="1:26">
      <c r="A648" s="59"/>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1"/>
    </row>
    <row r="649" ht="15.75" customHeight="1" spans="1:26">
      <c r="A649" s="59"/>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1"/>
    </row>
    <row r="650" ht="15.75" customHeight="1" spans="1:26">
      <c r="A650" s="59"/>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1"/>
    </row>
    <row r="651" ht="15.75" customHeight="1" spans="1:26">
      <c r="A651" s="59"/>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1"/>
    </row>
    <row r="652" ht="15.75" customHeight="1" spans="1:26">
      <c r="A652" s="59"/>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1"/>
    </row>
    <row r="653" ht="15.75" customHeight="1" spans="1:26">
      <c r="A653" s="59"/>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1"/>
    </row>
    <row r="654" ht="15.75" customHeight="1" spans="1:26">
      <c r="A654" s="59"/>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1"/>
    </row>
    <row r="655" ht="15.75" customHeight="1" spans="1:26">
      <c r="A655" s="59"/>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1"/>
    </row>
    <row r="656" ht="15.75" customHeight="1" spans="1:26">
      <c r="A656" s="59"/>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1"/>
    </row>
    <row r="657" ht="15.75" customHeight="1" spans="1:26">
      <c r="A657" s="59"/>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1"/>
    </row>
    <row r="658" ht="15.75" customHeight="1" spans="1:26">
      <c r="A658" s="59"/>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1"/>
    </row>
    <row r="659" ht="15.75" customHeight="1" spans="1:26">
      <c r="A659" s="59"/>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1"/>
    </row>
    <row r="660" ht="15.75" customHeight="1" spans="1:26">
      <c r="A660" s="59"/>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1"/>
    </row>
    <row r="661" ht="15.75" customHeight="1" spans="1:26">
      <c r="A661" s="59"/>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1"/>
    </row>
    <row r="662" ht="15.75" customHeight="1" spans="1:26">
      <c r="A662" s="59"/>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1"/>
    </row>
    <row r="663" ht="15.75" customHeight="1" spans="1:26">
      <c r="A663" s="59"/>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1"/>
    </row>
    <row r="664" ht="15.75" customHeight="1" spans="1:26">
      <c r="A664" s="59"/>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1"/>
    </row>
    <row r="665" ht="15.75" customHeight="1" spans="1:26">
      <c r="A665" s="59"/>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1"/>
    </row>
    <row r="666" ht="15.75" customHeight="1" spans="1:26">
      <c r="A666" s="59"/>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1"/>
    </row>
    <row r="667" ht="15.75" customHeight="1" spans="1:26">
      <c r="A667" s="59"/>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1"/>
    </row>
    <row r="668" ht="15.75" customHeight="1" spans="1:26">
      <c r="A668" s="59"/>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1"/>
    </row>
    <row r="669" ht="15.75" customHeight="1" spans="1:26">
      <c r="A669" s="59"/>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1"/>
    </row>
    <row r="670" ht="15.75" customHeight="1" spans="1:26">
      <c r="A670" s="59"/>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1"/>
    </row>
    <row r="671" ht="15.75" customHeight="1" spans="1:26">
      <c r="A671" s="59"/>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1"/>
    </row>
    <row r="672" ht="15.75" customHeight="1" spans="1:26">
      <c r="A672" s="59"/>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1"/>
    </row>
    <row r="673" ht="15.75" customHeight="1" spans="1:26">
      <c r="A673" s="59"/>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1"/>
    </row>
    <row r="674" ht="15.75" customHeight="1" spans="1:26">
      <c r="A674" s="59"/>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1"/>
    </row>
    <row r="675" ht="15.75" customHeight="1" spans="1:26">
      <c r="A675" s="59"/>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1"/>
    </row>
    <row r="676" ht="15.75" customHeight="1" spans="1:26">
      <c r="A676" s="59"/>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1"/>
    </row>
    <row r="677" ht="15.75" customHeight="1" spans="1:26">
      <c r="A677" s="59"/>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1"/>
    </row>
    <row r="678" ht="15.75" customHeight="1" spans="1:26">
      <c r="A678" s="59"/>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1"/>
    </row>
    <row r="679" ht="15.75" customHeight="1" spans="1:26">
      <c r="A679" s="59"/>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1"/>
    </row>
    <row r="680" ht="15.75" customHeight="1" spans="1:26">
      <c r="A680" s="59"/>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1"/>
    </row>
    <row r="681" ht="15.75" customHeight="1" spans="1:26">
      <c r="A681" s="59"/>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1"/>
    </row>
    <row r="682" ht="15.75" customHeight="1" spans="1:26">
      <c r="A682" s="59"/>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1"/>
    </row>
    <row r="683" ht="15.75" customHeight="1" spans="1:26">
      <c r="A683" s="59"/>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1"/>
    </row>
    <row r="684" ht="15.75" customHeight="1" spans="1:26">
      <c r="A684" s="59"/>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1"/>
    </row>
    <row r="685" ht="15.75" customHeight="1" spans="1:26">
      <c r="A685" s="59"/>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1"/>
    </row>
    <row r="686" ht="15.75" customHeight="1" spans="1:26">
      <c r="A686" s="59"/>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1"/>
    </row>
    <row r="687" ht="15.75" customHeight="1" spans="1:26">
      <c r="A687" s="59"/>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1"/>
    </row>
    <row r="688" ht="15.75" customHeight="1" spans="1:26">
      <c r="A688" s="59"/>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1"/>
    </row>
    <row r="689" ht="15.75" customHeight="1" spans="1:26">
      <c r="A689" s="59"/>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1"/>
    </row>
    <row r="690" ht="15.75" customHeight="1" spans="1:26">
      <c r="A690" s="59"/>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1"/>
    </row>
    <row r="691" ht="15.75" customHeight="1" spans="1:26">
      <c r="A691" s="59"/>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1"/>
    </row>
    <row r="692" ht="15.75" customHeight="1" spans="1:26">
      <c r="A692" s="59"/>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1"/>
    </row>
    <row r="693" ht="15.75" customHeight="1" spans="1:26">
      <c r="A693" s="59"/>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1"/>
    </row>
    <row r="694" ht="15.75" customHeight="1" spans="1:26">
      <c r="A694" s="59"/>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1"/>
    </row>
    <row r="695" ht="15.75" customHeight="1" spans="1:26">
      <c r="A695" s="59"/>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1"/>
    </row>
    <row r="696" ht="15.75" customHeight="1" spans="1:26">
      <c r="A696" s="59"/>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1"/>
    </row>
    <row r="697" ht="15.75" customHeight="1" spans="1:26">
      <c r="A697" s="59"/>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1"/>
    </row>
    <row r="698" ht="15.75" customHeight="1" spans="1:26">
      <c r="A698" s="59"/>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1"/>
    </row>
    <row r="699" ht="15.75" customHeight="1" spans="1:26">
      <c r="A699" s="59"/>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1"/>
    </row>
    <row r="700" ht="15.75" customHeight="1" spans="1:26">
      <c r="A700" s="59"/>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1"/>
    </row>
    <row r="701" ht="15.75" customHeight="1" spans="1:26">
      <c r="A701" s="59"/>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1"/>
    </row>
    <row r="702" ht="15.75" customHeight="1" spans="1:26">
      <c r="A702" s="59"/>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1"/>
    </row>
    <row r="703" ht="15.75" customHeight="1" spans="1:26">
      <c r="A703" s="59"/>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1"/>
    </row>
    <row r="704" ht="15.75" customHeight="1" spans="1:26">
      <c r="A704" s="59"/>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1"/>
    </row>
    <row r="705" ht="15.75" customHeight="1" spans="1:26">
      <c r="A705" s="59"/>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1"/>
    </row>
    <row r="706" ht="15.75" customHeight="1" spans="1:26">
      <c r="A706" s="59"/>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1"/>
    </row>
    <row r="707" ht="15.75" customHeight="1" spans="1:26">
      <c r="A707" s="59"/>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1"/>
    </row>
    <row r="708" ht="15.75" customHeight="1" spans="1:26">
      <c r="A708" s="59"/>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1"/>
    </row>
    <row r="709" ht="15.75" customHeight="1" spans="1:26">
      <c r="A709" s="59"/>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1"/>
    </row>
    <row r="710" ht="15.75" customHeight="1" spans="1:26">
      <c r="A710" s="59"/>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1"/>
    </row>
    <row r="711" ht="15.75" customHeight="1" spans="1:26">
      <c r="A711" s="59"/>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1"/>
    </row>
    <row r="712" ht="15.75" customHeight="1" spans="1:26">
      <c r="A712" s="59"/>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1"/>
    </row>
    <row r="713" ht="15.75" customHeight="1" spans="1:26">
      <c r="A713" s="59"/>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1"/>
    </row>
    <row r="714" ht="15.75" customHeight="1" spans="1:26">
      <c r="A714" s="59"/>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1"/>
    </row>
    <row r="715" ht="15.75" customHeight="1" spans="1:26">
      <c r="A715" s="59"/>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1"/>
    </row>
    <row r="716" ht="15.75" customHeight="1" spans="1:26">
      <c r="A716" s="59"/>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1"/>
    </row>
    <row r="717" ht="15.75" customHeight="1" spans="1:26">
      <c r="A717" s="59"/>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1"/>
    </row>
    <row r="718" ht="15.75" customHeight="1" spans="1:26">
      <c r="A718" s="59"/>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1"/>
    </row>
    <row r="719" ht="15.75" customHeight="1" spans="1:26">
      <c r="A719" s="59"/>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1"/>
    </row>
    <row r="720" ht="15.75" customHeight="1" spans="1:26">
      <c r="A720" s="59"/>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1"/>
    </row>
    <row r="721" ht="15.75" customHeight="1" spans="1:26">
      <c r="A721" s="59"/>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1"/>
    </row>
    <row r="722" ht="15.75" customHeight="1" spans="1:26">
      <c r="A722" s="59"/>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1"/>
    </row>
    <row r="723" ht="15.75" customHeight="1" spans="1:26">
      <c r="A723" s="59"/>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1"/>
    </row>
    <row r="724" ht="15.75" customHeight="1" spans="1:26">
      <c r="A724" s="59"/>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1"/>
    </row>
    <row r="725" ht="15.75" customHeight="1" spans="1:26">
      <c r="A725" s="59"/>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1"/>
    </row>
    <row r="726" ht="15.75" customHeight="1" spans="1:26">
      <c r="A726" s="59"/>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1"/>
    </row>
    <row r="727" ht="15.75" customHeight="1" spans="1:26">
      <c r="A727" s="59"/>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1"/>
    </row>
    <row r="728" ht="15.75" customHeight="1" spans="1:26">
      <c r="A728" s="59"/>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1"/>
    </row>
    <row r="729" ht="15.75" customHeight="1" spans="1:26">
      <c r="A729" s="59"/>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1"/>
    </row>
    <row r="730" ht="15.75" customHeight="1" spans="1:26">
      <c r="A730" s="59"/>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1"/>
    </row>
    <row r="731" ht="15.75" customHeight="1" spans="1:26">
      <c r="A731" s="59"/>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1"/>
    </row>
    <row r="732" ht="15.75" customHeight="1" spans="1:26">
      <c r="A732" s="59"/>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1"/>
    </row>
    <row r="733" ht="15.75" customHeight="1" spans="1:26">
      <c r="A733" s="59"/>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1"/>
    </row>
    <row r="734" ht="15.75" customHeight="1" spans="1:26">
      <c r="A734" s="59"/>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1"/>
    </row>
    <row r="735" ht="15.75" customHeight="1" spans="1:26">
      <c r="A735" s="59"/>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1"/>
    </row>
    <row r="736" ht="15.75" customHeight="1" spans="1:26">
      <c r="A736" s="59"/>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1"/>
    </row>
    <row r="737" ht="15.75" customHeight="1" spans="1:26">
      <c r="A737" s="59"/>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1"/>
    </row>
    <row r="738" ht="15.75" customHeight="1" spans="1:26">
      <c r="A738" s="59"/>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1"/>
    </row>
    <row r="739" ht="15.75" customHeight="1" spans="1:26">
      <c r="A739" s="59"/>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1"/>
    </row>
    <row r="740" ht="15.75" customHeight="1" spans="1:26">
      <c r="A740" s="59"/>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1"/>
    </row>
    <row r="741" ht="15.75" customHeight="1" spans="1:26">
      <c r="A741" s="59"/>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1"/>
    </row>
    <row r="742" ht="15.75" customHeight="1" spans="1:26">
      <c r="A742" s="59"/>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1"/>
    </row>
    <row r="743" ht="15.75" customHeight="1" spans="1:26">
      <c r="A743" s="59"/>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1"/>
    </row>
    <row r="744" ht="15.75" customHeight="1" spans="1:26">
      <c r="A744" s="59"/>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1"/>
    </row>
    <row r="745" ht="15.75" customHeight="1" spans="1:26">
      <c r="A745" s="59"/>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1"/>
    </row>
    <row r="746" ht="15.75" customHeight="1" spans="1:26">
      <c r="A746" s="59"/>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1"/>
    </row>
    <row r="747" ht="15.75" customHeight="1" spans="1:26">
      <c r="A747" s="59"/>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1"/>
    </row>
    <row r="748" ht="15.75" customHeight="1" spans="1:26">
      <c r="A748" s="59"/>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1"/>
    </row>
    <row r="749" ht="15.75" customHeight="1" spans="1:26">
      <c r="A749" s="59"/>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1"/>
    </row>
    <row r="750" ht="15.75" customHeight="1" spans="1:26">
      <c r="A750" s="59"/>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1"/>
    </row>
    <row r="751" ht="15.75" customHeight="1" spans="1:26">
      <c r="A751" s="59"/>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1"/>
    </row>
    <row r="752" ht="15.75" customHeight="1" spans="1:26">
      <c r="A752" s="59"/>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1"/>
    </row>
    <row r="753" ht="15.75" customHeight="1" spans="1:26">
      <c r="A753" s="59"/>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1"/>
    </row>
    <row r="754" ht="15.75" customHeight="1" spans="1:26">
      <c r="A754" s="59"/>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1"/>
    </row>
    <row r="755" ht="15.75" customHeight="1" spans="1:26">
      <c r="A755" s="59"/>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1"/>
    </row>
    <row r="756" ht="15.75" customHeight="1" spans="1:26">
      <c r="A756" s="59"/>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1"/>
    </row>
    <row r="757" ht="15.75" customHeight="1" spans="1:26">
      <c r="A757" s="59"/>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1"/>
    </row>
    <row r="758" ht="15.75" customHeight="1" spans="1:26">
      <c r="A758" s="59"/>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1"/>
    </row>
    <row r="759" ht="15.75" customHeight="1" spans="1:26">
      <c r="A759" s="59"/>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1"/>
    </row>
    <row r="760" ht="15.75" customHeight="1" spans="1:26">
      <c r="A760" s="59"/>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1"/>
    </row>
    <row r="761" ht="15.75" customHeight="1" spans="1:26">
      <c r="A761" s="59"/>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1"/>
    </row>
    <row r="762" ht="15.75" customHeight="1" spans="1:26">
      <c r="A762" s="59"/>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1"/>
    </row>
    <row r="763" ht="15.75" customHeight="1" spans="1:26">
      <c r="A763" s="59"/>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1"/>
    </row>
    <row r="764" ht="15.75" customHeight="1" spans="1:26">
      <c r="A764" s="59"/>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1"/>
    </row>
    <row r="765" ht="15.75" customHeight="1" spans="1:26">
      <c r="A765" s="59"/>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1"/>
    </row>
    <row r="766" ht="15.75" customHeight="1" spans="1:26">
      <c r="A766" s="59"/>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1"/>
    </row>
    <row r="767" ht="15.75" customHeight="1" spans="1:26">
      <c r="A767" s="59"/>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1"/>
    </row>
    <row r="768" ht="15.75" customHeight="1" spans="1:26">
      <c r="A768" s="59"/>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1"/>
    </row>
    <row r="769" ht="15.75" customHeight="1" spans="1:26">
      <c r="A769" s="59"/>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1"/>
    </row>
    <row r="770" ht="15.75" customHeight="1" spans="1:26">
      <c r="A770" s="59"/>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1"/>
    </row>
    <row r="771" ht="15.75" customHeight="1" spans="1:26">
      <c r="A771" s="59"/>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1"/>
    </row>
    <row r="772" ht="15.75" customHeight="1" spans="1:26">
      <c r="A772" s="59"/>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1"/>
    </row>
    <row r="773" ht="15.75" customHeight="1" spans="1:26">
      <c r="A773" s="59"/>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1"/>
    </row>
    <row r="774" ht="15.75" customHeight="1" spans="1:26">
      <c r="A774" s="59"/>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1"/>
    </row>
    <row r="775" ht="15.75" customHeight="1" spans="1:26">
      <c r="A775" s="59"/>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1"/>
    </row>
    <row r="776" ht="15.75" customHeight="1" spans="1:26">
      <c r="A776" s="59"/>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1"/>
    </row>
    <row r="777" ht="15.75" customHeight="1" spans="1:26">
      <c r="A777" s="59"/>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1"/>
    </row>
    <row r="778" ht="15.75" customHeight="1" spans="1:26">
      <c r="A778" s="59"/>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1"/>
    </row>
    <row r="779" ht="15.75" customHeight="1" spans="1:26">
      <c r="A779" s="59"/>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1"/>
    </row>
    <row r="780" ht="15.75" customHeight="1" spans="1:26">
      <c r="A780" s="59"/>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1"/>
    </row>
    <row r="781" ht="15.75" customHeight="1" spans="1:26">
      <c r="A781" s="59"/>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1"/>
    </row>
    <row r="782" ht="15.75" customHeight="1" spans="1:26">
      <c r="A782" s="59"/>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1"/>
    </row>
    <row r="783" ht="15.75" customHeight="1" spans="1:26">
      <c r="A783" s="59"/>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1"/>
    </row>
    <row r="784" ht="15.75" customHeight="1" spans="1:26">
      <c r="A784" s="59"/>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1"/>
    </row>
    <row r="785" ht="15.75" customHeight="1" spans="1:26">
      <c r="A785" s="59"/>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1"/>
    </row>
    <row r="786" ht="15.75" customHeight="1" spans="1:26">
      <c r="A786" s="59"/>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1"/>
    </row>
    <row r="787" ht="15.75" customHeight="1" spans="1:26">
      <c r="A787" s="59"/>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1"/>
    </row>
    <row r="788" ht="15.75" customHeight="1" spans="1:26">
      <c r="A788" s="59"/>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1"/>
    </row>
    <row r="789" ht="15.75" customHeight="1" spans="1:26">
      <c r="A789" s="59"/>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1"/>
    </row>
    <row r="790" ht="15.75" customHeight="1" spans="1:26">
      <c r="A790" s="59"/>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1"/>
    </row>
    <row r="791" ht="15.75" customHeight="1" spans="1:26">
      <c r="A791" s="59"/>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1"/>
    </row>
    <row r="792" ht="15.75" customHeight="1" spans="1:26">
      <c r="A792" s="59"/>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1"/>
    </row>
    <row r="793" ht="15.75" customHeight="1" spans="1:26">
      <c r="A793" s="59"/>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1"/>
    </row>
    <row r="794" ht="15.75" customHeight="1" spans="1:26">
      <c r="A794" s="59"/>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1"/>
    </row>
    <row r="795" ht="15.75" customHeight="1" spans="1:26">
      <c r="A795" s="59"/>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1"/>
    </row>
    <row r="796" ht="15.75" customHeight="1" spans="1:26">
      <c r="A796" s="59"/>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1"/>
    </row>
    <row r="797" ht="15.75" customHeight="1" spans="1:26">
      <c r="A797" s="59"/>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1"/>
    </row>
    <row r="798" ht="15.75" customHeight="1" spans="1:26">
      <c r="A798" s="59"/>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1"/>
    </row>
    <row r="799" ht="15.75" customHeight="1" spans="1:26">
      <c r="A799" s="59"/>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1"/>
    </row>
    <row r="800" ht="15.75" customHeight="1" spans="1:26">
      <c r="A800" s="59"/>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1"/>
    </row>
    <row r="801" ht="15.75" customHeight="1" spans="1:26">
      <c r="A801" s="59"/>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1"/>
    </row>
    <row r="802" ht="15.75" customHeight="1" spans="1:26">
      <c r="A802" s="59"/>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1"/>
    </row>
    <row r="803" ht="15.75" customHeight="1" spans="1:26">
      <c r="A803" s="59"/>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1"/>
    </row>
    <row r="804" ht="15.75" customHeight="1" spans="1:26">
      <c r="A804" s="59"/>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1"/>
    </row>
    <row r="805" ht="15.75" customHeight="1" spans="1:26">
      <c r="A805" s="59"/>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1"/>
    </row>
    <row r="806" ht="15.75" customHeight="1" spans="1:26">
      <c r="A806" s="59"/>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1"/>
    </row>
    <row r="807" ht="15.75" customHeight="1" spans="1:26">
      <c r="A807" s="59"/>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1"/>
    </row>
    <row r="808" ht="15.75" customHeight="1" spans="1:26">
      <c r="A808" s="59"/>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1"/>
    </row>
    <row r="809" ht="15.75" customHeight="1" spans="1:26">
      <c r="A809" s="59"/>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1"/>
    </row>
    <row r="810" ht="15.75" customHeight="1" spans="1:26">
      <c r="A810" s="59"/>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1"/>
    </row>
    <row r="811" ht="15.75" customHeight="1" spans="1:26">
      <c r="A811" s="59"/>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1"/>
    </row>
    <row r="812" ht="15.75" customHeight="1" spans="1:26">
      <c r="A812" s="59"/>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1"/>
    </row>
    <row r="813" ht="15.75" customHeight="1" spans="1:26">
      <c r="A813" s="59"/>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1"/>
    </row>
    <row r="814" ht="15.75" customHeight="1" spans="1:26">
      <c r="A814" s="59"/>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1"/>
    </row>
    <row r="815" ht="15.75" customHeight="1" spans="1:26">
      <c r="A815" s="59"/>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1"/>
    </row>
    <row r="816" ht="15.75" customHeight="1" spans="1:26">
      <c r="A816" s="59"/>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1"/>
    </row>
    <row r="817" ht="15.75" customHeight="1" spans="1:26">
      <c r="A817" s="59"/>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1"/>
    </row>
    <row r="818" ht="15.75" customHeight="1" spans="1:26">
      <c r="A818" s="59"/>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1"/>
    </row>
    <row r="819" ht="15.75" customHeight="1" spans="1:26">
      <c r="A819" s="59"/>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1"/>
    </row>
    <row r="820" ht="15.75" customHeight="1" spans="1:26">
      <c r="A820" s="59"/>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1"/>
    </row>
    <row r="821" ht="15.75" customHeight="1" spans="1:26">
      <c r="A821" s="59"/>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1"/>
    </row>
    <row r="822" ht="15.75" customHeight="1" spans="1:26">
      <c r="A822" s="59"/>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1"/>
    </row>
    <row r="823" ht="15.75" customHeight="1" spans="1:26">
      <c r="A823" s="59"/>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1"/>
    </row>
    <row r="824" ht="15.75" customHeight="1" spans="1:26">
      <c r="A824" s="59"/>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1"/>
    </row>
    <row r="825" ht="15.75" customHeight="1" spans="1:26">
      <c r="A825" s="59"/>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1"/>
    </row>
    <row r="826" ht="15.75" customHeight="1" spans="1:26">
      <c r="A826" s="59"/>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1"/>
    </row>
    <row r="827" ht="15.75" customHeight="1" spans="1:26">
      <c r="A827" s="59"/>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1"/>
    </row>
    <row r="828" ht="15.75" customHeight="1" spans="1:26">
      <c r="A828" s="59"/>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1"/>
    </row>
    <row r="829" ht="15.75" customHeight="1" spans="1:26">
      <c r="A829" s="59"/>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1"/>
    </row>
    <row r="830" ht="15.75" customHeight="1" spans="1:26">
      <c r="A830" s="59"/>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1"/>
    </row>
    <row r="831" ht="15.75" customHeight="1" spans="1:26">
      <c r="A831" s="59"/>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1"/>
    </row>
    <row r="832" ht="15.75" customHeight="1" spans="1:26">
      <c r="A832" s="59"/>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1"/>
    </row>
    <row r="833" ht="15.75" customHeight="1" spans="1:26">
      <c r="A833" s="59"/>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1"/>
    </row>
    <row r="834" ht="15.75" customHeight="1" spans="1:26">
      <c r="A834" s="59"/>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1"/>
    </row>
    <row r="835" ht="15.75" customHeight="1" spans="1:26">
      <c r="A835" s="59"/>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1"/>
    </row>
    <row r="836" ht="15.75" customHeight="1" spans="1:26">
      <c r="A836" s="59"/>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1"/>
    </row>
    <row r="837" ht="15.75" customHeight="1" spans="1:26">
      <c r="A837" s="59"/>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1"/>
    </row>
    <row r="838" ht="15.75" customHeight="1" spans="1:26">
      <c r="A838" s="59"/>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1"/>
    </row>
    <row r="839" ht="15.75" customHeight="1" spans="1:26">
      <c r="A839" s="59"/>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1"/>
    </row>
    <row r="840" ht="15.75" customHeight="1" spans="1:26">
      <c r="A840" s="59"/>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1"/>
    </row>
    <row r="841" ht="15.75" customHeight="1" spans="1:26">
      <c r="A841" s="59"/>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1"/>
    </row>
    <row r="842" ht="15.75" customHeight="1" spans="1:26">
      <c r="A842" s="59"/>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1"/>
    </row>
    <row r="843" ht="15.75" customHeight="1" spans="1:26">
      <c r="A843" s="59"/>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1"/>
    </row>
    <row r="844" ht="15.75" customHeight="1" spans="1:26">
      <c r="A844" s="59"/>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1"/>
    </row>
    <row r="845" ht="15.75" customHeight="1" spans="1:26">
      <c r="A845" s="59"/>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1"/>
    </row>
    <row r="846" ht="15.75" customHeight="1" spans="1:26">
      <c r="A846" s="59"/>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1"/>
    </row>
    <row r="847" ht="15.75" customHeight="1" spans="1:26">
      <c r="A847" s="59"/>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1"/>
    </row>
    <row r="848" ht="15.75" customHeight="1" spans="1:26">
      <c r="A848" s="59"/>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1"/>
    </row>
    <row r="849" ht="15.75" customHeight="1" spans="1:26">
      <c r="A849" s="59"/>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1"/>
    </row>
    <row r="850" ht="15.75" customHeight="1" spans="1:26">
      <c r="A850" s="59"/>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1"/>
    </row>
    <row r="851" ht="15.75" customHeight="1" spans="1:26">
      <c r="A851" s="59"/>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1"/>
    </row>
    <row r="852" ht="15.75" customHeight="1" spans="1:26">
      <c r="A852" s="59"/>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1"/>
    </row>
    <row r="853" ht="15.75" customHeight="1" spans="1:26">
      <c r="A853" s="59"/>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1"/>
    </row>
    <row r="854" ht="15.75" customHeight="1" spans="1:26">
      <c r="A854" s="59"/>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1"/>
    </row>
    <row r="855" ht="15.75" customHeight="1" spans="1:26">
      <c r="A855" s="59"/>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1"/>
    </row>
    <row r="856" ht="15.75" customHeight="1" spans="1:26">
      <c r="A856" s="59"/>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1"/>
    </row>
    <row r="857" ht="15.75" customHeight="1" spans="1:26">
      <c r="A857" s="59"/>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1"/>
    </row>
    <row r="858" ht="15.75" customHeight="1" spans="1:26">
      <c r="A858" s="59"/>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1"/>
    </row>
    <row r="859" ht="15.75" customHeight="1" spans="1:26">
      <c r="A859" s="59"/>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1"/>
    </row>
    <row r="860" ht="15.75" customHeight="1" spans="1:26">
      <c r="A860" s="59"/>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1"/>
    </row>
    <row r="861" ht="15.75" customHeight="1" spans="1:26">
      <c r="A861" s="59"/>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1"/>
    </row>
    <row r="862" ht="15.75" customHeight="1" spans="1:26">
      <c r="A862" s="59"/>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1"/>
    </row>
    <row r="863" ht="15.75" customHeight="1" spans="1:26">
      <c r="A863" s="59"/>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1"/>
    </row>
    <row r="864" ht="15.75" customHeight="1" spans="1:26">
      <c r="A864" s="59"/>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1"/>
    </row>
    <row r="865" ht="15.75" customHeight="1" spans="1:26">
      <c r="A865" s="59"/>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1"/>
    </row>
    <row r="866" ht="15.75" customHeight="1" spans="1:26">
      <c r="A866" s="59"/>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1"/>
    </row>
    <row r="867" ht="15.75" customHeight="1" spans="1:26">
      <c r="A867" s="59"/>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1"/>
    </row>
    <row r="868" ht="15.75" customHeight="1" spans="1:26">
      <c r="A868" s="59"/>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1"/>
    </row>
    <row r="869" ht="15.75" customHeight="1" spans="1:26">
      <c r="A869" s="59"/>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1"/>
    </row>
    <row r="870" ht="15.75" customHeight="1" spans="1:26">
      <c r="A870" s="59"/>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1"/>
    </row>
    <row r="871" ht="15.75" customHeight="1" spans="1:26">
      <c r="A871" s="59"/>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1"/>
    </row>
    <row r="872" ht="15.75" customHeight="1" spans="1:26">
      <c r="A872" s="59"/>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1"/>
    </row>
    <row r="873" ht="15.75" customHeight="1" spans="1:26">
      <c r="A873" s="59"/>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1"/>
    </row>
    <row r="874" ht="15.75" customHeight="1" spans="1:26">
      <c r="A874" s="59"/>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1"/>
    </row>
    <row r="875" ht="15.75" customHeight="1" spans="1:26">
      <c r="A875" s="59"/>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1"/>
    </row>
    <row r="876" ht="15.75" customHeight="1" spans="1:26">
      <c r="A876" s="59"/>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1"/>
    </row>
    <row r="877" ht="15.75" customHeight="1" spans="1:26">
      <c r="A877" s="59"/>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1"/>
    </row>
    <row r="878" ht="15.75" customHeight="1" spans="1:26">
      <c r="A878" s="59"/>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1"/>
    </row>
    <row r="879" ht="15.75" customHeight="1" spans="1:26">
      <c r="A879" s="59"/>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1"/>
    </row>
    <row r="880" ht="15.75" customHeight="1" spans="1:26">
      <c r="A880" s="59"/>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1"/>
    </row>
    <row r="881" ht="15.75" customHeight="1" spans="1:26">
      <c r="A881" s="59"/>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1"/>
    </row>
    <row r="882" ht="15.75" customHeight="1" spans="1:26">
      <c r="A882" s="59"/>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1"/>
    </row>
    <row r="883" ht="15.75" customHeight="1" spans="1:26">
      <c r="A883" s="59"/>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1"/>
    </row>
    <row r="884" ht="15.75" customHeight="1" spans="1:26">
      <c r="A884" s="59"/>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1"/>
    </row>
    <row r="885" ht="15.75" customHeight="1" spans="1:26">
      <c r="A885" s="59"/>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1"/>
    </row>
    <row r="886" ht="15.75" customHeight="1" spans="1:26">
      <c r="A886" s="59"/>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1"/>
    </row>
    <row r="887" ht="15.75" customHeight="1" spans="1:26">
      <c r="A887" s="59"/>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1"/>
    </row>
    <row r="888" ht="15.75" customHeight="1" spans="1:26">
      <c r="A888" s="59"/>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1"/>
    </row>
    <row r="889" ht="15.75" customHeight="1" spans="1:26">
      <c r="A889" s="59"/>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1"/>
    </row>
    <row r="890" ht="15.75" customHeight="1" spans="1:26">
      <c r="A890" s="59"/>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1"/>
    </row>
    <row r="891" ht="15.75" customHeight="1" spans="1:26">
      <c r="A891" s="59"/>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1"/>
    </row>
    <row r="892" ht="15.75" customHeight="1" spans="1:26">
      <c r="A892" s="59"/>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1"/>
    </row>
    <row r="893" ht="15.75" customHeight="1" spans="1:26">
      <c r="A893" s="59"/>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1"/>
    </row>
    <row r="894" ht="15.75" customHeight="1" spans="1:26">
      <c r="A894" s="59"/>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1"/>
    </row>
    <row r="895" ht="15.75" customHeight="1" spans="1:26">
      <c r="A895" s="59"/>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1"/>
    </row>
    <row r="896" ht="15.75" customHeight="1" spans="1:26">
      <c r="A896" s="59"/>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1"/>
    </row>
    <row r="897" ht="15.75" customHeight="1" spans="1:26">
      <c r="A897" s="59"/>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1"/>
    </row>
    <row r="898" ht="15.75" customHeight="1" spans="1:26">
      <c r="A898" s="59"/>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1"/>
    </row>
    <row r="899" ht="15.75" customHeight="1" spans="1:26">
      <c r="A899" s="59"/>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1"/>
    </row>
    <row r="900" ht="15.75" customHeight="1" spans="1:26">
      <c r="A900" s="59"/>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1"/>
    </row>
    <row r="901" ht="15.75" customHeight="1" spans="1:26">
      <c r="A901" s="59"/>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1"/>
    </row>
    <row r="902" ht="15.75" customHeight="1" spans="1:26">
      <c r="A902" s="59"/>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1"/>
    </row>
    <row r="903" ht="15.75" customHeight="1" spans="1:26">
      <c r="A903" s="59"/>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1"/>
    </row>
    <row r="904" ht="15.75" customHeight="1" spans="1:26">
      <c r="A904" s="59"/>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1"/>
    </row>
    <row r="905" ht="15.75" customHeight="1" spans="1:26">
      <c r="A905" s="59"/>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1"/>
    </row>
    <row r="906" ht="15.75" customHeight="1" spans="1:26">
      <c r="A906" s="59"/>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1"/>
    </row>
    <row r="907" ht="15.75" customHeight="1" spans="1:26">
      <c r="A907" s="59"/>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1"/>
    </row>
    <row r="908" ht="15.75" customHeight="1" spans="1:26">
      <c r="A908" s="59"/>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1"/>
    </row>
    <row r="909" ht="15.75" customHeight="1" spans="1:26">
      <c r="A909" s="59"/>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1"/>
    </row>
    <row r="910" ht="15.75" customHeight="1" spans="1:26">
      <c r="A910" s="59"/>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1"/>
    </row>
    <row r="911" ht="15.75" customHeight="1" spans="1:26">
      <c r="A911" s="59"/>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1"/>
    </row>
    <row r="912" ht="15.75" customHeight="1" spans="1:26">
      <c r="A912" s="59"/>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1"/>
    </row>
    <row r="913" ht="15.75" customHeight="1" spans="1:26">
      <c r="A913" s="59"/>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1"/>
    </row>
    <row r="914" ht="15.75" customHeight="1" spans="1:26">
      <c r="A914" s="59"/>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1"/>
    </row>
    <row r="915" ht="15.75" customHeight="1" spans="1:26">
      <c r="A915" s="59"/>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1"/>
    </row>
    <row r="916" ht="15.75" customHeight="1" spans="1:26">
      <c r="A916" s="59"/>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1"/>
    </row>
    <row r="917" ht="15.75" customHeight="1" spans="1:26">
      <c r="A917" s="59"/>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1"/>
    </row>
    <row r="918" ht="15.75" customHeight="1" spans="1:26">
      <c r="A918" s="59"/>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1"/>
    </row>
    <row r="919" ht="15.75" customHeight="1" spans="1:26">
      <c r="A919" s="59"/>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1"/>
    </row>
    <row r="920" ht="15.75" customHeight="1" spans="1:26">
      <c r="A920" s="59"/>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1"/>
    </row>
    <row r="921" ht="15.75" customHeight="1" spans="1:26">
      <c r="A921" s="59"/>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1"/>
    </row>
    <row r="922" ht="15.75" customHeight="1" spans="1:26">
      <c r="A922" s="59"/>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1"/>
    </row>
    <row r="923" ht="15.75" customHeight="1" spans="1:26">
      <c r="A923" s="59"/>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1"/>
    </row>
    <row r="924" ht="15.75" customHeight="1" spans="1:26">
      <c r="A924" s="59"/>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1"/>
    </row>
    <row r="925" ht="15.75" customHeight="1" spans="1:26">
      <c r="A925" s="59"/>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1"/>
    </row>
    <row r="926" ht="15.75" customHeight="1" spans="1:26">
      <c r="A926" s="59"/>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1"/>
    </row>
    <row r="927" ht="15.75" customHeight="1" spans="1:26">
      <c r="A927" s="59"/>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1"/>
    </row>
    <row r="928" ht="15.75" customHeight="1" spans="1:26">
      <c r="A928" s="59"/>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1"/>
    </row>
    <row r="929" ht="15.75" customHeight="1" spans="1:26">
      <c r="A929" s="59"/>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1"/>
    </row>
    <row r="930" ht="15.75" customHeight="1" spans="1:26">
      <c r="A930" s="59"/>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1"/>
    </row>
    <row r="931" ht="15.75" customHeight="1" spans="1:26">
      <c r="A931" s="59"/>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1"/>
    </row>
    <row r="932" ht="15.75" customHeight="1" spans="1:26">
      <c r="A932" s="59"/>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1"/>
    </row>
    <row r="933" ht="15.75" customHeight="1" spans="1:26">
      <c r="A933" s="59"/>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1"/>
    </row>
    <row r="934" ht="15.75" customHeight="1" spans="1:26">
      <c r="A934" s="59"/>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1"/>
    </row>
    <row r="935" ht="15.75" customHeight="1" spans="1:26">
      <c r="A935" s="59"/>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1"/>
    </row>
    <row r="936" ht="15.75" customHeight="1" spans="1:26">
      <c r="A936" s="59"/>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1"/>
    </row>
    <row r="937" ht="15.75" customHeight="1" spans="1:26">
      <c r="A937" s="59"/>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1"/>
    </row>
    <row r="938" ht="15.75" customHeight="1" spans="1:26">
      <c r="A938" s="59"/>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1"/>
    </row>
    <row r="939" ht="15.75" customHeight="1" spans="1:26">
      <c r="A939" s="59"/>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1"/>
    </row>
    <row r="940" ht="15.75" customHeight="1" spans="1:26">
      <c r="A940" s="59"/>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1"/>
    </row>
    <row r="941" ht="15.75" customHeight="1" spans="1:26">
      <c r="A941" s="59"/>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1"/>
    </row>
    <row r="942" ht="15.75" customHeight="1" spans="1:26">
      <c r="A942" s="59"/>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1"/>
    </row>
    <row r="943" ht="15.75" customHeight="1" spans="1:26">
      <c r="A943" s="59"/>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1"/>
    </row>
    <row r="944" ht="15.75" customHeight="1" spans="1:26">
      <c r="A944" s="59"/>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1"/>
    </row>
    <row r="945" ht="15.75" customHeight="1" spans="1:26">
      <c r="A945" s="59"/>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1"/>
    </row>
    <row r="946" ht="15.75" customHeight="1" spans="1:26">
      <c r="A946" s="59"/>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1"/>
    </row>
    <row r="947" ht="15.75" customHeight="1" spans="1:26">
      <c r="A947" s="59"/>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1"/>
    </row>
    <row r="948" ht="15.75" customHeight="1" spans="1:26">
      <c r="A948" s="59"/>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1"/>
    </row>
    <row r="949" ht="15.75" customHeight="1" spans="1:26">
      <c r="A949" s="59"/>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1"/>
    </row>
    <row r="950" ht="15.75" customHeight="1" spans="1:26">
      <c r="A950" s="59"/>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1"/>
    </row>
    <row r="951" ht="15.75" customHeight="1" spans="1:26">
      <c r="A951" s="59"/>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1"/>
    </row>
    <row r="952" ht="15.75" customHeight="1" spans="1:26">
      <c r="A952" s="59"/>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1"/>
    </row>
    <row r="953" ht="15.75" customHeight="1" spans="1:26">
      <c r="A953" s="59"/>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1"/>
    </row>
    <row r="954" ht="15.75" customHeight="1" spans="1:26">
      <c r="A954" s="59"/>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1"/>
    </row>
    <row r="955" ht="15.75" customHeight="1" spans="1:26">
      <c r="A955" s="59"/>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1"/>
    </row>
    <row r="956" ht="15.75" customHeight="1" spans="1:26">
      <c r="A956" s="59"/>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1"/>
    </row>
    <row r="957" ht="15.75" customHeight="1" spans="1:26">
      <c r="A957" s="59"/>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1"/>
    </row>
    <row r="958" ht="15.75" customHeight="1" spans="1:26">
      <c r="A958" s="59"/>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1"/>
    </row>
    <row r="959" ht="15.75" customHeight="1" spans="1:26">
      <c r="A959" s="59"/>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1"/>
    </row>
    <row r="960" ht="15.75" customHeight="1" spans="1:26">
      <c r="A960" s="59"/>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1"/>
    </row>
    <row r="961" ht="15.75" customHeight="1" spans="1:26">
      <c r="A961" s="59"/>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1"/>
    </row>
    <row r="962" ht="15.75" customHeight="1" spans="1:26">
      <c r="A962" s="59"/>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1"/>
    </row>
    <row r="963" ht="15.75" customHeight="1" spans="1:26">
      <c r="A963" s="59"/>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1"/>
    </row>
    <row r="964" ht="15.75" customHeight="1" spans="1:26">
      <c r="A964" s="59"/>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1"/>
    </row>
    <row r="965" ht="15.75" customHeight="1" spans="1:26">
      <c r="A965" s="59"/>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1"/>
    </row>
    <row r="966" ht="15.75" customHeight="1" spans="1:26">
      <c r="A966" s="59"/>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1"/>
    </row>
    <row r="967" ht="15.75" customHeight="1" spans="1:26">
      <c r="A967" s="59"/>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1"/>
    </row>
    <row r="968" ht="15.75" customHeight="1" spans="1:26">
      <c r="A968" s="59"/>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1"/>
    </row>
    <row r="969" ht="15.75" customHeight="1" spans="1:26">
      <c r="A969" s="103"/>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5"/>
    </row>
  </sheetData>
  <mergeCells count="2">
    <mergeCell ref="A3:N3"/>
    <mergeCell ref="B5:O5"/>
  </mergeCells>
  <pageMargins left="0.45" right="0.56" top="0.76" bottom="0.551181" header="0" footer="0"/>
  <pageSetup paperSize="1" orientation="landscape" useFirstPageNumber="1"/>
  <headerFooter>
    <oddFooter>&amp;C&amp;"Arial,Regular"&amp;10&amp;K000000 Download fra www.startvaekst.dk</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Z1012"/>
  <sheetViews>
    <sheetView workbookViewId="0">
      <selection activeCell="N80" sqref="N80"/>
    </sheetView>
  </sheetViews>
  <sheetFormatPr defaultColWidth="14.5047619047619" defaultRowHeight="15" customHeight="1"/>
  <cols>
    <col min="1" max="1" width="84.2857142857143" style="11" customWidth="1"/>
    <col min="2" max="5" width="11.3333333333333" style="11" customWidth="1"/>
    <col min="6" max="6" width="17" style="11" customWidth="1"/>
    <col min="7" max="13" width="11.3333333333333" style="11" customWidth="1"/>
    <col min="14" max="14" width="14.6666666666667" style="11" customWidth="1"/>
    <col min="15" max="26" width="10.3333333333333" style="11" customWidth="1"/>
    <col min="27" max="16384" width="14.5047619047619" style="11"/>
  </cols>
  <sheetData>
    <row r="1" s="11" customFormat="1" customHeight="1" spans="1:26">
      <c r="B1" s="12"/>
      <c r="C1" s="12"/>
      <c r="D1" s="12"/>
      <c r="E1" s="12"/>
      <c r="F1" s="12"/>
      <c r="G1" s="12"/>
      <c r="H1" s="12"/>
      <c r="I1" s="12"/>
      <c r="J1" s="12"/>
      <c r="K1" s="12"/>
      <c r="L1" s="12"/>
      <c r="M1" s="12"/>
      <c r="N1" s="12"/>
      <c r="O1" s="12"/>
      <c r="P1" s="12"/>
      <c r="Q1" s="12"/>
      <c r="R1" s="12"/>
      <c r="S1" s="12"/>
      <c r="T1" s="12"/>
      <c r="U1" s="12"/>
      <c r="V1" s="12"/>
      <c r="W1" s="12"/>
      <c r="X1" s="12"/>
      <c r="Y1" s="12"/>
      <c r="Z1" s="12"/>
    </row>
    <row r="2" ht="12.75" customHeight="1" spans="1:26">
      <c r="A2" s="13"/>
      <c r="B2" s="13"/>
      <c r="C2" s="13"/>
      <c r="D2" s="13"/>
      <c r="E2" s="13"/>
      <c r="F2" s="13"/>
      <c r="G2" s="13"/>
      <c r="H2" s="13"/>
      <c r="I2" s="13"/>
      <c r="J2" s="13"/>
      <c r="K2" s="13"/>
      <c r="L2" s="13"/>
      <c r="M2" s="13"/>
      <c r="N2" s="13"/>
      <c r="O2" s="14"/>
      <c r="P2" s="14"/>
      <c r="Q2" s="14"/>
      <c r="R2" s="14"/>
      <c r="S2" s="14"/>
      <c r="T2" s="14"/>
      <c r="U2" s="14"/>
      <c r="V2" s="14"/>
      <c r="W2" s="14"/>
      <c r="X2" s="14"/>
      <c r="Y2" s="14"/>
      <c r="Z2" s="14"/>
    </row>
    <row r="3" ht="12.75" customHeight="1" spans="1:26">
      <c r="A3" s="13"/>
      <c r="B3" s="13"/>
      <c r="C3" s="13"/>
      <c r="D3" s="13"/>
      <c r="E3" s="13"/>
      <c r="F3" s="13"/>
      <c r="G3" s="13"/>
      <c r="H3" s="13"/>
      <c r="I3" s="13"/>
      <c r="J3" s="13"/>
      <c r="K3" s="13"/>
      <c r="L3" s="13"/>
      <c r="M3" s="13"/>
      <c r="N3" s="13"/>
      <c r="O3" s="14"/>
      <c r="P3" s="14"/>
      <c r="Q3" s="14"/>
      <c r="R3" s="14"/>
      <c r="S3" s="14"/>
      <c r="T3" s="14"/>
      <c r="U3" s="14"/>
      <c r="V3" s="14"/>
      <c r="W3" s="14"/>
      <c r="X3" s="14"/>
      <c r="Y3" s="14"/>
      <c r="Z3" s="14"/>
    </row>
    <row r="4" ht="12.75" customHeight="1" spans="1:26">
      <c r="A4" s="15"/>
      <c r="B4" s="15"/>
      <c r="C4" s="15"/>
      <c r="D4" s="15"/>
      <c r="E4" s="15"/>
      <c r="F4" s="15"/>
      <c r="G4" s="15"/>
      <c r="H4" s="15"/>
      <c r="I4" s="15"/>
      <c r="J4" s="15"/>
      <c r="K4" s="15"/>
      <c r="L4" s="15"/>
      <c r="M4" s="15"/>
      <c r="N4" s="15"/>
      <c r="O4" s="14"/>
      <c r="P4" s="14"/>
      <c r="Q4" s="14"/>
      <c r="R4" s="14"/>
      <c r="S4" s="14"/>
      <c r="T4" s="14"/>
      <c r="U4" s="14"/>
      <c r="V4" s="14"/>
      <c r="W4" s="14"/>
      <c r="X4" s="14"/>
      <c r="Y4" s="14"/>
      <c r="Z4" s="14"/>
    </row>
    <row r="5" ht="24" customHeight="1" spans="1:26">
      <c r="A5" s="13"/>
      <c r="B5" s="13"/>
      <c r="C5" s="13"/>
      <c r="D5" s="13"/>
      <c r="E5" s="13"/>
      <c r="F5" s="13"/>
      <c r="G5" s="13"/>
      <c r="H5" s="13"/>
      <c r="I5" s="13"/>
      <c r="J5" s="13"/>
      <c r="K5" s="13"/>
      <c r="L5" s="13"/>
      <c r="M5" s="13"/>
      <c r="N5" s="13"/>
      <c r="O5" s="14"/>
      <c r="P5" s="14"/>
      <c r="Q5" s="14"/>
      <c r="R5" s="14"/>
      <c r="S5" s="14"/>
      <c r="T5" s="14"/>
      <c r="U5" s="14"/>
      <c r="V5" s="14"/>
      <c r="W5" s="14"/>
      <c r="X5" s="14"/>
      <c r="Y5" s="14"/>
      <c r="Z5" s="14"/>
    </row>
    <row r="6" ht="34" customHeight="1" spans="1:26">
      <c r="A6" s="16" t="s">
        <v>167</v>
      </c>
      <c r="B6" s="17" t="s">
        <v>168</v>
      </c>
      <c r="C6" s="17"/>
      <c r="D6" s="17"/>
      <c r="E6" s="17"/>
      <c r="F6" s="17"/>
      <c r="G6" s="17"/>
      <c r="H6" s="17"/>
      <c r="I6" s="17"/>
      <c r="J6" s="17"/>
      <c r="K6" s="17"/>
      <c r="L6" s="17"/>
      <c r="M6" s="17"/>
      <c r="N6" s="18"/>
      <c r="O6" s="14"/>
      <c r="P6" s="14"/>
      <c r="Q6" s="14"/>
      <c r="R6" s="14"/>
      <c r="S6" s="14"/>
      <c r="T6" s="14"/>
      <c r="U6" s="14"/>
      <c r="V6" s="14"/>
      <c r="W6" s="14"/>
      <c r="X6" s="14"/>
      <c r="Y6" s="14"/>
      <c r="Z6" s="14"/>
    </row>
    <row r="7" ht="15.75" spans="1:26">
      <c r="A7" s="19" t="s">
        <v>169</v>
      </c>
      <c r="B7" s="20" t="s">
        <v>137</v>
      </c>
      <c r="C7" s="20" t="s">
        <v>138</v>
      </c>
      <c r="D7" s="20" t="s">
        <v>139</v>
      </c>
      <c r="E7" s="20" t="s">
        <v>140</v>
      </c>
      <c r="F7" s="20" t="s">
        <v>170</v>
      </c>
      <c r="G7" s="20" t="s">
        <v>142</v>
      </c>
      <c r="H7" s="20" t="s">
        <v>143</v>
      </c>
      <c r="I7" s="20" t="s">
        <v>144</v>
      </c>
      <c r="J7" s="20" t="s">
        <v>145</v>
      </c>
      <c r="K7" s="20" t="s">
        <v>146</v>
      </c>
      <c r="L7" s="20" t="s">
        <v>147</v>
      </c>
      <c r="M7" s="21" t="s">
        <v>148</v>
      </c>
      <c r="N7" s="22" t="s">
        <v>149</v>
      </c>
      <c r="O7" s="13"/>
      <c r="P7" s="13"/>
      <c r="Q7" s="13"/>
      <c r="R7" s="13"/>
      <c r="S7" s="13"/>
      <c r="T7" s="13"/>
      <c r="U7" s="13"/>
      <c r="V7" s="13"/>
      <c r="W7" s="13"/>
      <c r="X7" s="13"/>
      <c r="Y7" s="13"/>
      <c r="Z7" s="13"/>
    </row>
    <row r="8" ht="12.75" customHeight="1" spans="1:26">
      <c r="A8" s="23"/>
      <c r="B8" s="23">
        <v>1</v>
      </c>
      <c r="C8" s="23">
        <v>2</v>
      </c>
      <c r="D8" s="23">
        <v>3</v>
      </c>
      <c r="E8" s="23">
        <v>4</v>
      </c>
      <c r="F8" s="23">
        <v>5</v>
      </c>
      <c r="G8" s="23">
        <v>6</v>
      </c>
      <c r="H8" s="23">
        <v>7</v>
      </c>
      <c r="I8" s="23">
        <v>8</v>
      </c>
      <c r="J8" s="23">
        <v>9</v>
      </c>
      <c r="K8" s="23">
        <v>10</v>
      </c>
      <c r="L8" s="23">
        <v>11</v>
      </c>
      <c r="M8" s="24">
        <v>12</v>
      </c>
      <c r="N8" s="25"/>
      <c r="O8" s="13"/>
      <c r="P8" s="13"/>
      <c r="Q8" s="13"/>
      <c r="R8" s="13"/>
      <c r="S8" s="13"/>
      <c r="T8" s="13"/>
      <c r="U8" s="13"/>
      <c r="V8" s="13"/>
      <c r="W8" s="13"/>
      <c r="X8" s="13"/>
      <c r="Y8" s="13"/>
      <c r="Z8" s="13"/>
    </row>
    <row r="9" ht="15.75" spans="1:26">
      <c r="A9" s="180" t="s">
        <v>171</v>
      </c>
      <c r="B9" s="27"/>
      <c r="C9" s="27"/>
      <c r="D9" s="27"/>
      <c r="E9" s="27"/>
      <c r="F9" s="27"/>
      <c r="G9" s="27"/>
      <c r="H9" s="27"/>
      <c r="I9" s="27"/>
      <c r="J9" s="27"/>
      <c r="K9" s="27"/>
      <c r="L9" s="27"/>
      <c r="M9" s="28"/>
      <c r="N9" s="29"/>
      <c r="O9" s="13"/>
      <c r="P9" s="13"/>
      <c r="Q9" s="13"/>
      <c r="R9" s="13"/>
      <c r="S9" s="13"/>
      <c r="T9" s="13"/>
      <c r="U9" s="13"/>
      <c r="V9" s="13"/>
      <c r="W9" s="13"/>
      <c r="X9" s="13"/>
      <c r="Y9" s="13"/>
      <c r="Z9" s="13"/>
    </row>
    <row r="10" spans="1:26">
      <c r="A10" s="30" t="s">
        <v>75</v>
      </c>
      <c r="B10" s="30">
        <f>SUMIFS('Indtægter (Forecast)'!$L:$L,'Indtægter (Forecast)'!$A:$A,$A10,'Indtægter (Forecast)'!$B:$B,"&lt;="&amp;DATE($A$7,B$8,1),'Indtægter (Forecast)'!$C:$C,"&gt;="&amp;DATE($A$7,B$8,1))</f>
        <v>0</v>
      </c>
      <c r="C10" s="30">
        <f>SUMIFS('Indtægter (Forecast)'!$L:$L,'Indtægter (Forecast)'!$A:$A,$A10,'Indtægter (Forecast)'!$B:$B,"&lt;="&amp;DATE($A$7,C$8,1),'Indtægter (Forecast)'!$C:$C,"&gt;="&amp;DATE($A$7,C$8,1))</f>
        <v>0</v>
      </c>
      <c r="D10" s="30">
        <f>SUMIFS('Indtægter (Forecast)'!$L:$L,'Indtægter (Forecast)'!$A:$A,$A10,'Indtægter (Forecast)'!$B:$B,"&lt;="&amp;DATE($A$7,D$8,1),'Indtægter (Forecast)'!$C:$C,"&gt;="&amp;DATE($A$7,D$8,1))</f>
        <v>0</v>
      </c>
      <c r="E10" s="30">
        <f>SUMIFS('Indtægter (Forecast)'!$L:$L,'Indtægter (Forecast)'!$A:$A,$A10,'Indtægter (Forecast)'!$B:$B,"&lt;="&amp;DATE($A$7,E$8,1),'Indtægter (Forecast)'!$C:$C,"&gt;="&amp;DATE($A$7,E$8,1))</f>
        <v>0</v>
      </c>
      <c r="F10" s="30">
        <f>SUMIFS('Indtægter (Forecast)'!$L:$L,'Indtægter (Forecast)'!$A:$A,$A10,'Indtægter (Forecast)'!$B:$B,"&lt;="&amp;DATE($A$7,F$8,1),'Indtægter (Forecast)'!$C:$C,"&gt;="&amp;DATE($A$7,F$8,1))</f>
        <v>0</v>
      </c>
      <c r="G10" s="30">
        <f>SUMIFS('Indtægter (Forecast)'!$L:$L,'Indtægter (Forecast)'!$A:$A,$A10,'Indtægter (Forecast)'!$B:$B,"&lt;="&amp;DATE($A$7,G$8,1),'Indtægter (Forecast)'!$C:$C,"&gt;="&amp;DATE($A$7,G$8,1))</f>
        <v>0</v>
      </c>
      <c r="H10" s="30">
        <f>SUMIFS('Indtægter (Forecast)'!$L:$L,'Indtægter (Forecast)'!$A:$A,$A10,'Indtægter (Forecast)'!$B:$B,"&lt;="&amp;DATE($A$7,H$8,1),'Indtægter (Forecast)'!$C:$C,"&gt;="&amp;DATE($A$7,H$8,1))</f>
        <v>0</v>
      </c>
      <c r="I10" s="30">
        <f>SUMIFS('Indtægter (Forecast)'!$L:$L,'Indtægter (Forecast)'!$A:$A,$A10,'Indtægter (Forecast)'!$B:$B,"&lt;="&amp;DATE($A$7,I$8,1),'Indtægter (Forecast)'!$C:$C,"&gt;="&amp;DATE($A$7,I$8,1))</f>
        <v>0</v>
      </c>
      <c r="J10" s="30">
        <f>SUMIFS('Indtægter (Forecast)'!$L:$L,'Indtægter (Forecast)'!$A:$A,$A10,'Indtægter (Forecast)'!$B:$B,"&lt;="&amp;DATE($A$7,J$8,1),'Indtægter (Forecast)'!$C:$C,"&gt;="&amp;DATE($A$7,J$8,1))</f>
        <v>0</v>
      </c>
      <c r="K10" s="30">
        <f>SUMIFS('Indtægter (Forecast)'!$L:$L,'Indtægter (Forecast)'!$A:$A,$A10,'Indtægter (Forecast)'!$B:$B,"&lt;="&amp;DATE($A$7,K$8,1),'Indtægter (Forecast)'!$C:$C,"&gt;="&amp;DATE($A$7,K$8,1))</f>
        <v>0</v>
      </c>
      <c r="L10" s="30">
        <f>SUMIFS('Indtægter (Forecast)'!$L:$L,'Indtægter (Forecast)'!$A:$A,$A10,'Indtægter (Forecast)'!$B:$B,"&lt;="&amp;DATE($A$7,L$8,1),'Indtægter (Forecast)'!$C:$C,"&gt;="&amp;DATE($A$7,L$8,1))</f>
        <v>2527.39726027397</v>
      </c>
      <c r="M10" s="31">
        <f>SUMIFS('Indtægter (Forecast)'!$L:$L,'Indtægter (Forecast)'!$A:$A,$A10,'Indtægter (Forecast)'!$B:$B,"&lt;="&amp;DATE($A$7,M$8,1),'Indtægter (Forecast)'!$C:$C,"&gt;="&amp;DATE($A$7,M$8,1))</f>
        <v>2527.39726027397</v>
      </c>
      <c r="N10" s="32">
        <f>SUM(B10:M10)</f>
        <v>5054.79452054794</v>
      </c>
      <c r="O10" s="13"/>
      <c r="P10" s="13"/>
      <c r="Q10" s="13"/>
      <c r="R10" s="13"/>
      <c r="S10" s="13"/>
      <c r="T10" s="13"/>
      <c r="U10" s="13"/>
      <c r="V10" s="13"/>
      <c r="W10" s="13"/>
      <c r="X10" s="13"/>
      <c r="Y10" s="13"/>
      <c r="Z10" s="13"/>
    </row>
    <row r="11" spans="1:26">
      <c r="A11" s="33" t="s">
        <v>77</v>
      </c>
      <c r="B11" s="33">
        <f>SUMIFS('Indtægter (Forecast)'!$L:$L,'Indtægter (Forecast)'!$A:$A,$A11,'Indtægter (Forecast)'!$B:$B,"&lt;="&amp;DATE($A$7,B$8,1),'Indtægter (Forecast)'!$C:$C,"&gt;="&amp;DATE($A$7,B$8,1))</f>
        <v>0</v>
      </c>
      <c r="C11" s="33">
        <f>SUMIFS('Indtægter (Forecast)'!$L:$L,'Indtægter (Forecast)'!$A:$A,$A11,'Indtægter (Forecast)'!$B:$B,"&lt;="&amp;DATE($A$7,C$8,1),'Indtægter (Forecast)'!$C:$C,"&gt;="&amp;DATE($A$7,C$8,1))</f>
        <v>0</v>
      </c>
      <c r="D11" s="33">
        <f>SUMIFS('Indtægter (Forecast)'!$L:$L,'Indtægter (Forecast)'!$A:$A,$A11,'Indtægter (Forecast)'!$B:$B,"&lt;="&amp;DATE($A$7,D$8,1),'Indtægter (Forecast)'!$C:$C,"&gt;="&amp;DATE($A$7,D$8,1))</f>
        <v>0</v>
      </c>
      <c r="E11" s="33">
        <f>SUMIFS('Indtægter (Forecast)'!$L:$L,'Indtægter (Forecast)'!$A:$A,$A11,'Indtægter (Forecast)'!$B:$B,"&lt;="&amp;DATE($A$7,E$8,1),'Indtægter (Forecast)'!$C:$C,"&gt;="&amp;DATE($A$7,E$8,1))</f>
        <v>0</v>
      </c>
      <c r="F11" s="33">
        <f>SUMIFS('Indtægter (Forecast)'!$L:$L,'Indtægter (Forecast)'!$A:$A,$A11,'Indtægter (Forecast)'!$B:$B,"&lt;="&amp;DATE($A$7,F$8,1),'Indtægter (Forecast)'!$C:$C,"&gt;="&amp;DATE($A$7,F$8,1))</f>
        <v>0</v>
      </c>
      <c r="G11" s="33">
        <f>SUMIFS('Indtægter (Forecast)'!$L:$L,'Indtægter (Forecast)'!$A:$A,$A11,'Indtægter (Forecast)'!$B:$B,"&lt;="&amp;DATE($A$7,G$8,1),'Indtægter (Forecast)'!$C:$C,"&gt;="&amp;DATE($A$7,G$8,1))</f>
        <v>0</v>
      </c>
      <c r="H11" s="33">
        <f>SUMIFS('Indtægter (Forecast)'!$L:$L,'Indtægter (Forecast)'!$A:$A,$A11,'Indtægter (Forecast)'!$B:$B,"&lt;="&amp;DATE($A$7,H$8,1),'Indtægter (Forecast)'!$C:$C,"&gt;="&amp;DATE($A$7,H$8,1))</f>
        <v>0</v>
      </c>
      <c r="I11" s="33">
        <f>SUMIFS('Indtægter (Forecast)'!$L:$L,'Indtægter (Forecast)'!$A:$A,$A11,'Indtægter (Forecast)'!$B:$B,"&lt;="&amp;DATE($A$7,I$8,1),'Indtægter (Forecast)'!$C:$C,"&gt;="&amp;DATE($A$7,I$8,1))</f>
        <v>0</v>
      </c>
      <c r="J11" s="33">
        <f>SUMIFS('Indtægter (Forecast)'!$L:$L,'Indtægter (Forecast)'!$A:$A,$A11,'Indtægter (Forecast)'!$B:$B,"&lt;="&amp;DATE($A$7,J$8,1),'Indtægter (Forecast)'!$C:$C,"&gt;="&amp;DATE($A$7,J$8,1))</f>
        <v>0</v>
      </c>
      <c r="K11" s="33">
        <f>SUMIFS('Indtægter (Forecast)'!$L:$L,'Indtægter (Forecast)'!$A:$A,$A11,'Indtægter (Forecast)'!$B:$B,"&lt;="&amp;DATE($A$7,K$8,1),'Indtægter (Forecast)'!$C:$C,"&gt;="&amp;DATE($A$7,K$8,1))</f>
        <v>0</v>
      </c>
      <c r="L11" s="33">
        <f>SUMIFS('Indtægter (Forecast)'!$L:$L,'Indtægter (Forecast)'!$A:$A,$A11,'Indtægter (Forecast)'!$B:$B,"&lt;="&amp;DATE($A$7,L$8,1),'Indtægter (Forecast)'!$C:$C,"&gt;="&amp;DATE($A$7,L$8,1))</f>
        <v>0</v>
      </c>
      <c r="M11" s="34">
        <f>SUMIFS('Indtægter (Forecast)'!$L:$L,'Indtægter (Forecast)'!$A:$A,$A11,'Indtægter (Forecast)'!$B:$B,"&lt;="&amp;DATE($A$7,M$8,1),'Indtægter (Forecast)'!$C:$C,"&gt;="&amp;DATE($A$7,M$8,1))</f>
        <v>0</v>
      </c>
      <c r="N11" s="35">
        <f>SUM(B11:M11)</f>
        <v>0</v>
      </c>
      <c r="O11" s="13"/>
      <c r="P11" s="13"/>
      <c r="Q11" s="13"/>
      <c r="R11" s="13"/>
      <c r="S11" s="13"/>
      <c r="T11" s="13"/>
      <c r="U11" s="13"/>
      <c r="V11" s="13"/>
      <c r="W11" s="13"/>
      <c r="X11" s="13"/>
      <c r="Y11" s="13"/>
      <c r="Z11" s="13"/>
    </row>
    <row r="12" spans="1:26">
      <c r="A12" s="30" t="s">
        <v>79</v>
      </c>
      <c r="B12" s="30">
        <f>SUMIFS('Indtægter (Forecast)'!$L:$L,'Indtægter (Forecast)'!$A:$A,$A12,'Indtægter (Forecast)'!$B:$B,"&lt;="&amp;DATE($A$7,B$8,1),'Indtægter (Forecast)'!$C:$C,"&gt;="&amp;DATE($A$7,B$8,1))</f>
        <v>0</v>
      </c>
      <c r="C12" s="30">
        <f>SUMIFS('Indtægter (Forecast)'!$L:$L,'Indtægter (Forecast)'!$A:$A,$A12,'Indtægter (Forecast)'!$B:$B,"&lt;="&amp;DATE($A$7,C$8,1),'Indtægter (Forecast)'!$C:$C,"&gt;="&amp;DATE($A$7,C$8,1))</f>
        <v>0</v>
      </c>
      <c r="D12" s="30">
        <f>SUMIFS('Indtægter (Forecast)'!$L:$L,'Indtægter (Forecast)'!$A:$A,$A12,'Indtægter (Forecast)'!$B:$B,"&lt;="&amp;DATE($A$7,D$8,1),'Indtægter (Forecast)'!$C:$C,"&gt;="&amp;DATE($A$7,D$8,1))</f>
        <v>0</v>
      </c>
      <c r="E12" s="30">
        <f>SUMIFS('Indtægter (Forecast)'!$L:$L,'Indtægter (Forecast)'!$A:$A,$A12,'Indtægter (Forecast)'!$B:$B,"&lt;="&amp;DATE($A$7,E$8,1),'Indtægter (Forecast)'!$C:$C,"&gt;="&amp;DATE($A$7,E$8,1))</f>
        <v>0</v>
      </c>
      <c r="F12" s="30">
        <f>SUMIFS('Indtægter (Forecast)'!$L:$L,'Indtægter (Forecast)'!$A:$A,$A12,'Indtægter (Forecast)'!$B:$B,"&lt;="&amp;DATE($A$7,F$8,1),'Indtægter (Forecast)'!$C:$C,"&gt;="&amp;DATE($A$7,F$8,1))</f>
        <v>0</v>
      </c>
      <c r="G12" s="30">
        <f>SUMIFS('Indtægter (Forecast)'!$L:$L,'Indtægter (Forecast)'!$A:$A,$A12,'Indtægter (Forecast)'!$B:$B,"&lt;="&amp;DATE($A$7,G$8,1),'Indtægter (Forecast)'!$C:$C,"&gt;="&amp;DATE($A$7,G$8,1))</f>
        <v>0</v>
      </c>
      <c r="H12" s="30">
        <f>SUMIFS('Indtægter (Forecast)'!$L:$L,'Indtægter (Forecast)'!$A:$A,$A12,'Indtægter (Forecast)'!$B:$B,"&lt;="&amp;DATE($A$7,H$8,1),'Indtægter (Forecast)'!$C:$C,"&gt;="&amp;DATE($A$7,H$8,1))</f>
        <v>0</v>
      </c>
      <c r="I12" s="30">
        <f>SUMIFS('Indtægter (Forecast)'!$L:$L,'Indtægter (Forecast)'!$A:$A,$A12,'Indtægter (Forecast)'!$B:$B,"&lt;="&amp;DATE($A$7,I$8,1),'Indtægter (Forecast)'!$C:$C,"&gt;="&amp;DATE($A$7,I$8,1))</f>
        <v>0</v>
      </c>
      <c r="J12" s="30">
        <f>SUMIFS('Indtægter (Forecast)'!$L:$L,'Indtægter (Forecast)'!$A:$A,$A12,'Indtægter (Forecast)'!$B:$B,"&lt;="&amp;DATE($A$7,J$8,1),'Indtægter (Forecast)'!$C:$C,"&gt;="&amp;DATE($A$7,J$8,1))</f>
        <v>0</v>
      </c>
      <c r="K12" s="30">
        <f>SUMIFS('Indtægter (Forecast)'!$L:$L,'Indtægter (Forecast)'!$A:$A,$A12,'Indtægter (Forecast)'!$B:$B,"&lt;="&amp;DATE($A$7,K$8,1),'Indtægter (Forecast)'!$C:$C,"&gt;="&amp;DATE($A$7,K$8,1))</f>
        <v>0</v>
      </c>
      <c r="L12" s="30">
        <f>SUMIFS('Indtægter (Forecast)'!$L:$L,'Indtægter (Forecast)'!$A:$A,$A12,'Indtægter (Forecast)'!$B:$B,"&lt;="&amp;DATE($A$7,L$8,1),'Indtægter (Forecast)'!$C:$C,"&gt;="&amp;DATE($A$7,L$8,1))</f>
        <v>0</v>
      </c>
      <c r="M12" s="31">
        <f>SUMIFS('Indtægter (Forecast)'!$L:$L,'Indtægter (Forecast)'!$A:$A,$A12,'Indtægter (Forecast)'!$B:$B,"&lt;="&amp;DATE($A$7,M$8,1),'Indtægter (Forecast)'!$C:$C,"&gt;="&amp;DATE($A$7,M$8,1))</f>
        <v>0</v>
      </c>
      <c r="N12" s="32">
        <f>SUM(B12:M12)</f>
        <v>0</v>
      </c>
      <c r="O12" s="13"/>
      <c r="P12" s="13"/>
      <c r="Q12" s="13"/>
      <c r="R12" s="13"/>
      <c r="S12" s="13"/>
      <c r="T12" s="13"/>
      <c r="U12" s="13"/>
      <c r="V12" s="13"/>
      <c r="W12" s="13"/>
      <c r="X12" s="13"/>
      <c r="Y12" s="13"/>
      <c r="Z12" s="13"/>
    </row>
    <row r="13" spans="1:26">
      <c r="A13" s="33" t="s">
        <v>71</v>
      </c>
      <c r="B13" s="33">
        <f>SUMIFS('Indtægter (Forecast)'!$L:$L,'Indtægter (Forecast)'!$A:$A,$A13,'Indtægter (Forecast)'!$B:$B,"&lt;="&amp;DATE($A$7,B$8,1),'Indtægter (Forecast)'!$C:$C,"&gt;="&amp;DATE($A$7,B$8,1))</f>
        <v>0</v>
      </c>
      <c r="C13" s="33">
        <f>SUMIFS('Indtægter (Forecast)'!$L:$L,'Indtægter (Forecast)'!$A:$A,$A13,'Indtægter (Forecast)'!$B:$B,"&lt;="&amp;DATE($A$7,C$8,1),'Indtægter (Forecast)'!$C:$C,"&gt;="&amp;DATE($A$7,C$8,1))</f>
        <v>0</v>
      </c>
      <c r="D13" s="33">
        <f>SUMIFS('Indtægter (Forecast)'!$L:$L,'Indtægter (Forecast)'!$A:$A,$A13,'Indtægter (Forecast)'!$B:$B,"&lt;="&amp;DATE($A$7,D$8,1),'Indtægter (Forecast)'!$C:$C,"&gt;="&amp;DATE($A$7,D$8,1))</f>
        <v>0</v>
      </c>
      <c r="E13" s="33">
        <f>SUMIFS('Indtægter (Forecast)'!$L:$L,'Indtægter (Forecast)'!$A:$A,$A13,'Indtægter (Forecast)'!$B:$B,"&lt;="&amp;DATE($A$7,E$8,1),'Indtægter (Forecast)'!$C:$C,"&gt;="&amp;DATE($A$7,E$8,1))</f>
        <v>0</v>
      </c>
      <c r="F13" s="33">
        <f>SUMIFS('Indtægter (Forecast)'!$L:$L,'Indtægter (Forecast)'!$A:$A,$A13,'Indtægter (Forecast)'!$B:$B,"&lt;="&amp;DATE($A$7,F$8,1),'Indtægter (Forecast)'!$C:$C,"&gt;="&amp;DATE($A$7,F$8,1))</f>
        <v>0</v>
      </c>
      <c r="G13" s="33">
        <f>SUMIFS('Indtægter (Forecast)'!$L:$L,'Indtægter (Forecast)'!$A:$A,$A13,'Indtægter (Forecast)'!$B:$B,"&lt;="&amp;DATE($A$7,G$8,1),'Indtægter (Forecast)'!$C:$C,"&gt;="&amp;DATE($A$7,G$8,1))</f>
        <v>0</v>
      </c>
      <c r="H13" s="33">
        <f>SUMIFS('Indtægter (Forecast)'!$L:$L,'Indtægter (Forecast)'!$A:$A,$A13,'Indtægter (Forecast)'!$B:$B,"&lt;="&amp;DATE($A$7,H$8,1),'Indtægter (Forecast)'!$C:$C,"&gt;="&amp;DATE($A$7,H$8,1))</f>
        <v>0</v>
      </c>
      <c r="I13" s="33">
        <f>SUMIFS('Indtægter (Forecast)'!$L:$L,'Indtægter (Forecast)'!$A:$A,$A13,'Indtægter (Forecast)'!$B:$B,"&lt;="&amp;DATE($A$7,I$8,1),'Indtægter (Forecast)'!$C:$C,"&gt;="&amp;DATE($A$7,I$8,1))</f>
        <v>0</v>
      </c>
      <c r="J13" s="33">
        <f>SUMIFS('Indtægter (Forecast)'!$L:$L,'Indtægter (Forecast)'!$A:$A,$A13,'Indtægter (Forecast)'!$B:$B,"&lt;="&amp;DATE($A$7,J$8,1),'Indtægter (Forecast)'!$C:$C,"&gt;="&amp;DATE($A$7,J$8,1))</f>
        <v>0</v>
      </c>
      <c r="K13" s="33">
        <f>SUMIFS('Indtægter (Forecast)'!$L:$L,'Indtægter (Forecast)'!$A:$A,$A13,'Indtægter (Forecast)'!$B:$B,"&lt;="&amp;DATE($A$7,K$8,1),'Indtægter (Forecast)'!$C:$C,"&gt;="&amp;DATE($A$7,K$8,1))</f>
        <v>0</v>
      </c>
      <c r="L13" s="33">
        <f>SUMIFS('Indtægter (Forecast)'!$L:$L,'Indtægter (Forecast)'!$A:$A,$A13,'Indtægter (Forecast)'!$B:$B,"&lt;="&amp;DATE($A$7,L$8,1),'Indtægter (Forecast)'!$C:$C,"&gt;="&amp;DATE($A$7,L$8,1))</f>
        <v>3000</v>
      </c>
      <c r="M13" s="34">
        <f>SUMIFS('Indtægter (Forecast)'!$L:$L,'Indtægter (Forecast)'!$A:$A,$A13,'Indtægter (Forecast)'!$B:$B,"&lt;="&amp;DATE($A$7,M$8,1),'Indtægter (Forecast)'!$C:$C,"&gt;="&amp;DATE($A$7,M$8,1))</f>
        <v>0</v>
      </c>
      <c r="N13" s="35">
        <f>SUM(B13:M13)</f>
        <v>3000</v>
      </c>
      <c r="O13" s="13"/>
      <c r="P13" s="13"/>
      <c r="Q13" s="13"/>
      <c r="R13" s="13"/>
      <c r="S13" s="13"/>
      <c r="T13" s="13"/>
      <c r="U13" s="13"/>
      <c r="V13" s="13"/>
      <c r="W13" s="13"/>
      <c r="X13" s="13"/>
      <c r="Y13" s="13"/>
      <c r="Z13" s="13"/>
    </row>
    <row r="14" spans="1:26">
      <c r="A14" s="30" t="s">
        <v>76</v>
      </c>
      <c r="B14" s="30">
        <f>SUMIFS('Indtægter (Forecast)'!$L:$L,'Indtægter (Forecast)'!$A:$A,$A14,'Indtægter (Forecast)'!$B:$B,"&lt;="&amp;DATE($A$7,B$8,1),'Indtægter (Forecast)'!$C:$C,"&gt;="&amp;DATE($A$7,B$8,1))</f>
        <v>0</v>
      </c>
      <c r="C14" s="30">
        <f>SUMIFS('Indtægter (Forecast)'!$L:$L,'Indtægter (Forecast)'!$A:$A,$A14,'Indtægter (Forecast)'!$B:$B,"&lt;="&amp;DATE($A$7,C$8,1),'Indtægter (Forecast)'!$C:$C,"&gt;="&amp;DATE($A$7,C$8,1))</f>
        <v>0</v>
      </c>
      <c r="D14" s="30">
        <f>SUMIFS('Indtægter (Forecast)'!$L:$L,'Indtægter (Forecast)'!$A:$A,$A14,'Indtægter (Forecast)'!$B:$B,"&lt;="&amp;DATE($A$7,D$8,1),'Indtægter (Forecast)'!$C:$C,"&gt;="&amp;DATE($A$7,D$8,1))</f>
        <v>0</v>
      </c>
      <c r="E14" s="30">
        <f>SUMIFS('Indtægter (Forecast)'!$L:$L,'Indtægter (Forecast)'!$A:$A,$A14,'Indtægter (Forecast)'!$B:$B,"&lt;="&amp;DATE($A$7,E$8,1),'Indtægter (Forecast)'!$C:$C,"&gt;="&amp;DATE($A$7,E$8,1))</f>
        <v>0</v>
      </c>
      <c r="F14" s="30">
        <f>SUMIFS('Indtægter (Forecast)'!$L:$L,'Indtægter (Forecast)'!$A:$A,$A14,'Indtægter (Forecast)'!$B:$B,"&lt;="&amp;DATE($A$7,F$8,1),'Indtægter (Forecast)'!$C:$C,"&gt;="&amp;DATE($A$7,F$8,1))</f>
        <v>20000</v>
      </c>
      <c r="G14" s="30">
        <f>SUMIFS('Indtægter (Forecast)'!$L:$L,'Indtægter (Forecast)'!$A:$A,$A14,'Indtægter (Forecast)'!$B:$B,"&lt;="&amp;DATE($A$7,G$8,1),'Indtægter (Forecast)'!$C:$C,"&gt;="&amp;DATE($A$7,G$8,1))</f>
        <v>0</v>
      </c>
      <c r="H14" s="30">
        <f>SUMIFS('Indtægter (Forecast)'!$L:$L,'Indtægter (Forecast)'!$A:$A,$A14,'Indtægter (Forecast)'!$B:$B,"&lt;="&amp;DATE($A$7,H$8,1),'Indtægter (Forecast)'!$C:$C,"&gt;="&amp;DATE($A$7,H$8,1))</f>
        <v>0</v>
      </c>
      <c r="I14" s="30">
        <f>SUMIFS('Indtægter (Forecast)'!$L:$L,'Indtægter (Forecast)'!$A:$A,$A14,'Indtægter (Forecast)'!$B:$B,"&lt;="&amp;DATE($A$7,I$8,1),'Indtægter (Forecast)'!$C:$C,"&gt;="&amp;DATE($A$7,I$8,1))</f>
        <v>0</v>
      </c>
      <c r="J14" s="30">
        <f>SUMIFS('Indtægter (Forecast)'!$L:$L,'Indtægter (Forecast)'!$A:$A,$A14,'Indtægter (Forecast)'!$B:$B,"&lt;="&amp;DATE($A$7,J$8,1),'Indtægter (Forecast)'!$C:$C,"&gt;="&amp;DATE($A$7,J$8,1))</f>
        <v>0</v>
      </c>
      <c r="K14" s="30">
        <f>SUMIFS('Indtægter (Forecast)'!$L:$L,'Indtægter (Forecast)'!$A:$A,$A14,'Indtægter (Forecast)'!$B:$B,"&lt;="&amp;DATE($A$7,K$8,1),'Indtægter (Forecast)'!$C:$C,"&gt;="&amp;DATE($A$7,K$8,1))</f>
        <v>0</v>
      </c>
      <c r="L14" s="30">
        <f>SUMIFS('Indtægter (Forecast)'!$L:$L,'Indtægter (Forecast)'!$A:$A,$A14,'Indtægter (Forecast)'!$B:$B,"&lt;="&amp;DATE($A$7,L$8,1),'Indtægter (Forecast)'!$C:$C,"&gt;="&amp;DATE($A$7,L$8,1))</f>
        <v>0</v>
      </c>
      <c r="M14" s="31">
        <f>SUMIFS('Indtægter (Forecast)'!$L:$L,'Indtægter (Forecast)'!$A:$A,$A14,'Indtægter (Forecast)'!$B:$B,"&lt;="&amp;DATE($A$7,M$8,1),'Indtægter (Forecast)'!$C:$C,"&gt;="&amp;DATE($A$7,M$8,1))</f>
        <v>0</v>
      </c>
      <c r="N14" s="32">
        <f>SUM(B14:M14)</f>
        <v>20000</v>
      </c>
      <c r="O14" s="13"/>
      <c r="P14" s="13"/>
      <c r="Q14" s="13"/>
      <c r="R14" s="13"/>
      <c r="S14" s="13"/>
      <c r="T14" s="13"/>
      <c r="U14" s="13"/>
      <c r="V14" s="13"/>
      <c r="W14" s="13"/>
      <c r="X14" s="13"/>
      <c r="Y14" s="13"/>
      <c r="Z14" s="13"/>
    </row>
    <row r="15" ht="15.75" spans="1:26">
      <c r="A15" s="36" t="s">
        <v>172</v>
      </c>
      <c r="B15" s="36">
        <f t="shared" ref="B15:N15" si="0">SUM(B10:B14)</f>
        <v>0</v>
      </c>
      <c r="C15" s="36">
        <f t="shared" si="0"/>
        <v>0</v>
      </c>
      <c r="D15" s="36">
        <f t="shared" si="0"/>
        <v>0</v>
      </c>
      <c r="E15" s="36">
        <f t="shared" si="0"/>
        <v>0</v>
      </c>
      <c r="F15" s="36">
        <f t="shared" si="0"/>
        <v>20000</v>
      </c>
      <c r="G15" s="36">
        <f t="shared" si="0"/>
        <v>0</v>
      </c>
      <c r="H15" s="36">
        <f t="shared" si="0"/>
        <v>0</v>
      </c>
      <c r="I15" s="36">
        <f t="shared" si="0"/>
        <v>0</v>
      </c>
      <c r="J15" s="36">
        <f t="shared" si="0"/>
        <v>0</v>
      </c>
      <c r="K15" s="36">
        <f t="shared" si="0"/>
        <v>0</v>
      </c>
      <c r="L15" s="36">
        <f t="shared" si="0"/>
        <v>5527.39726027397</v>
      </c>
      <c r="M15" s="37">
        <f t="shared" si="0"/>
        <v>2527.39726027397</v>
      </c>
      <c r="N15" s="38">
        <f t="shared" si="0"/>
        <v>28054.7945205479</v>
      </c>
      <c r="O15" s="13"/>
      <c r="P15" s="13"/>
      <c r="Q15" s="13"/>
      <c r="R15" s="13"/>
      <c r="S15" s="13"/>
      <c r="T15" s="13"/>
      <c r="U15" s="13"/>
      <c r="V15" s="13"/>
      <c r="W15" s="13"/>
      <c r="X15" s="13"/>
      <c r="Y15" s="13"/>
      <c r="Z15" s="13"/>
    </row>
    <row r="16" ht="12.75" customHeight="1" spans="1:26">
      <c r="A16" s="23"/>
      <c r="B16" s="23"/>
      <c r="C16" s="23"/>
      <c r="D16" s="23"/>
      <c r="E16" s="23"/>
      <c r="F16" s="23"/>
      <c r="G16" s="23"/>
      <c r="H16" s="23"/>
      <c r="I16" s="23"/>
      <c r="J16" s="23"/>
      <c r="K16" s="23"/>
      <c r="L16" s="23"/>
      <c r="M16" s="24"/>
      <c r="N16" s="25"/>
      <c r="O16" s="13"/>
      <c r="P16" s="13"/>
      <c r="Q16" s="13"/>
      <c r="R16" s="13"/>
      <c r="S16" s="13"/>
      <c r="T16" s="13"/>
      <c r="U16" s="13"/>
      <c r="V16" s="13"/>
      <c r="W16" s="13"/>
      <c r="X16" s="13"/>
      <c r="Y16" s="13"/>
      <c r="Z16" s="13"/>
    </row>
    <row r="17" ht="15.75" spans="1:26">
      <c r="A17" s="39" t="s">
        <v>173</v>
      </c>
      <c r="B17" s="27"/>
      <c r="C17" s="27"/>
      <c r="D17" s="27"/>
      <c r="E17" s="27"/>
      <c r="F17" s="27"/>
      <c r="G17" s="27"/>
      <c r="H17" s="27"/>
      <c r="I17" s="27"/>
      <c r="J17" s="27"/>
      <c r="K17" s="27"/>
      <c r="L17" s="27"/>
      <c r="M17" s="28"/>
      <c r="N17" s="29"/>
      <c r="O17" s="13"/>
      <c r="P17" s="13"/>
      <c r="Q17" s="13"/>
      <c r="R17" s="13"/>
      <c r="S17" s="13"/>
      <c r="T17" s="13"/>
      <c r="U17" s="13"/>
      <c r="V17" s="13"/>
      <c r="W17" s="13"/>
      <c r="X17" s="13"/>
      <c r="Y17" s="13"/>
      <c r="Z17" s="13"/>
    </row>
    <row r="18" spans="1:26">
      <c r="A18" s="30" t="s">
        <v>95</v>
      </c>
      <c r="B18" s="30">
        <f>SUMIFS('Udgifter (Forecast)'!$M:$M,'Udgifter (Forecast)'!$A:$A,$A18,'Udgifter (Forecast)'!$B:$B,"&lt;="&amp;DATE($A$7,B$8,1),'Udgifter (Forecast)'!$C:$C,"&gt;="&amp;DATE($A$7,B$8,1))</f>
        <v>0</v>
      </c>
      <c r="C18" s="30">
        <f>SUMIFS('Udgifter (Forecast)'!$M:$M,'Udgifter (Forecast)'!$A:$A,$A18,'Udgifter (Forecast)'!$B:$B,"&lt;="&amp;DATE($A$7,C$8,1),'Udgifter (Forecast)'!$C:$C,"&gt;="&amp;DATE($A$7,C$8,1))</f>
        <v>0</v>
      </c>
      <c r="D18" s="30">
        <f>SUMIFS('Udgifter (Forecast)'!$M:$M,'Udgifter (Forecast)'!$A:$A,$A18,'Udgifter (Forecast)'!$B:$B,"&lt;="&amp;DATE($A$7,D$8,1),'Udgifter (Forecast)'!$C:$C,"&gt;="&amp;DATE($A$7,D$8,1))</f>
        <v>0</v>
      </c>
      <c r="E18" s="30">
        <f>SUMIFS('Udgifter (Forecast)'!$M:$M,'Udgifter (Forecast)'!$A:$A,$A18,'Udgifter (Forecast)'!$B:$B,"&lt;="&amp;DATE($A$7,E$8,1),'Udgifter (Forecast)'!$C:$C,"&gt;="&amp;DATE($A$7,E$8,1))</f>
        <v>0</v>
      </c>
      <c r="F18" s="30">
        <f>SUMIFS('Udgifter (Forecast)'!$M:$M,'Udgifter (Forecast)'!$A:$A,$A18,'Udgifter (Forecast)'!$B:$B,"&lt;="&amp;DATE($A$7,F$8,1),'Udgifter (Forecast)'!$C:$C,"&gt;="&amp;DATE($A$7,F$8,1))</f>
        <v>0</v>
      </c>
      <c r="G18" s="30">
        <f>SUMIFS('Udgifter (Forecast)'!$M:$M,'Udgifter (Forecast)'!$A:$A,$A18,'Udgifter (Forecast)'!$B:$B,"&lt;="&amp;DATE($A$7,G$8,1),'Udgifter (Forecast)'!$C:$C,"&gt;="&amp;DATE($A$7,G$8,1))</f>
        <v>2120</v>
      </c>
      <c r="H18" s="30">
        <f>SUMIFS('Udgifter (Forecast)'!$M:$M,'Udgifter (Forecast)'!$A:$A,$A18,'Udgifter (Forecast)'!$B:$B,"&lt;="&amp;DATE($A$7,H$8,1),'Udgifter (Forecast)'!$C:$C,"&gt;="&amp;DATE($A$7,H$8,1))</f>
        <v>2120</v>
      </c>
      <c r="I18" s="30">
        <f>SUMIFS('Udgifter (Forecast)'!$M:$M,'Udgifter (Forecast)'!$A:$A,$A18,'Udgifter (Forecast)'!$B:$B,"&lt;="&amp;DATE($A$7,I$8,1),'Udgifter (Forecast)'!$C:$C,"&gt;="&amp;DATE($A$7,I$8,1))</f>
        <v>2120</v>
      </c>
      <c r="J18" s="30">
        <f>SUMIFS('Udgifter (Forecast)'!$M:$M,'Udgifter (Forecast)'!$A:$A,$A18,'Udgifter (Forecast)'!$B:$B,"&lt;="&amp;DATE($A$7,J$8,1),'Udgifter (Forecast)'!$C:$C,"&gt;="&amp;DATE($A$7,J$8,1))</f>
        <v>2120</v>
      </c>
      <c r="K18" s="30">
        <f>SUMIFS('Udgifter (Forecast)'!$M:$M,'Udgifter (Forecast)'!$A:$A,$A18,'Udgifter (Forecast)'!$B:$B,"&lt;="&amp;DATE($A$7,K$8,1),'Udgifter (Forecast)'!$C:$C,"&gt;="&amp;DATE($A$7,K$8,1))</f>
        <v>2120</v>
      </c>
      <c r="L18" s="30">
        <f>SUMIFS('Udgifter (Forecast)'!$M:$M,'Udgifter (Forecast)'!$A:$A,$A18,'Udgifter (Forecast)'!$B:$B,"&lt;="&amp;DATE($A$7,L$8,1),'Udgifter (Forecast)'!$C:$C,"&gt;="&amp;DATE($A$7,L$8,1))</f>
        <v>0</v>
      </c>
      <c r="M18" s="31">
        <f>SUMIFS('Udgifter (Forecast)'!$M:$M,'Udgifter (Forecast)'!$A:$A,$A18,'Udgifter (Forecast)'!$B:$B,"&lt;="&amp;DATE($A$7,M$8,1),'Udgifter (Forecast)'!$C:$C,"&gt;="&amp;DATE($A$7,M$8,1))</f>
        <v>0</v>
      </c>
      <c r="N18" s="32">
        <f t="shared" ref="N18:N35" si="1">SUM(B18:M18)</f>
        <v>10600</v>
      </c>
      <c r="O18" s="13"/>
      <c r="P18" s="13"/>
      <c r="Q18" s="13"/>
      <c r="R18" s="13"/>
      <c r="S18" s="13"/>
      <c r="T18" s="13"/>
      <c r="U18" s="13"/>
      <c r="V18" s="13"/>
      <c r="W18" s="13"/>
      <c r="X18" s="13"/>
      <c r="Y18" s="13"/>
      <c r="Z18" s="13"/>
    </row>
    <row r="19" spans="1:26">
      <c r="A19" s="33" t="s">
        <v>174</v>
      </c>
      <c r="B19" s="33">
        <f>SUMIFS('Udgifter (Forecast)'!$M:$M,'Udgifter (Forecast)'!$A:$A,$A19,'Udgifter (Forecast)'!$B:$B,"&lt;="&amp;DATE($A$7,B$8,1),'Udgifter (Forecast)'!$C:$C,"&gt;="&amp;DATE($A$7,B$8,1))</f>
        <v>0</v>
      </c>
      <c r="C19" s="33">
        <f>SUMIFS('Udgifter (Forecast)'!$M:$M,'Udgifter (Forecast)'!$A:$A,$A19,'Udgifter (Forecast)'!$B:$B,"&lt;="&amp;DATE($A$7,C$8,1),'Udgifter (Forecast)'!$C:$C,"&gt;="&amp;DATE($A$7,C$8,1))</f>
        <v>0</v>
      </c>
      <c r="D19" s="33">
        <f>SUMIFS('Udgifter (Forecast)'!$M:$M,'Udgifter (Forecast)'!$A:$A,$A19,'Udgifter (Forecast)'!$B:$B,"&lt;="&amp;DATE($A$7,D$8,1),'Udgifter (Forecast)'!$C:$C,"&gt;="&amp;DATE($A$7,D$8,1))</f>
        <v>0</v>
      </c>
      <c r="E19" s="33">
        <f>SUMIFS('Udgifter (Forecast)'!$M:$M,'Udgifter (Forecast)'!$A:$A,$A19,'Udgifter (Forecast)'!$B:$B,"&lt;="&amp;DATE($A$7,E$8,1),'Udgifter (Forecast)'!$C:$C,"&gt;="&amp;DATE($A$7,E$8,1))</f>
        <v>0</v>
      </c>
      <c r="F19" s="33">
        <f>SUMIFS('Udgifter (Forecast)'!$M:$M,'Udgifter (Forecast)'!$A:$A,$A19,'Udgifter (Forecast)'!$B:$B,"&lt;="&amp;DATE($A$7,F$8,1),'Udgifter (Forecast)'!$C:$C,"&gt;="&amp;DATE($A$7,F$8,1))</f>
        <v>0</v>
      </c>
      <c r="G19" s="33">
        <f>SUMIFS('Udgifter (Forecast)'!$M:$M,'Udgifter (Forecast)'!$A:$A,$A19,'Udgifter (Forecast)'!$B:$B,"&lt;="&amp;DATE($A$7,G$8,1),'Udgifter (Forecast)'!$C:$C,"&gt;="&amp;DATE($A$7,G$8,1))</f>
        <v>0</v>
      </c>
      <c r="H19" s="33">
        <f>SUMIFS('Udgifter (Forecast)'!$M:$M,'Udgifter (Forecast)'!$A:$A,$A19,'Udgifter (Forecast)'!$B:$B,"&lt;="&amp;DATE($A$7,H$8,1),'Udgifter (Forecast)'!$C:$C,"&gt;="&amp;DATE($A$7,H$8,1))</f>
        <v>0</v>
      </c>
      <c r="I19" s="33">
        <f>SUMIFS('Udgifter (Forecast)'!$M:$M,'Udgifter (Forecast)'!$A:$A,$A19,'Udgifter (Forecast)'!$B:$B,"&lt;="&amp;DATE($A$7,I$8,1),'Udgifter (Forecast)'!$C:$C,"&gt;="&amp;DATE($A$7,I$8,1))</f>
        <v>0</v>
      </c>
      <c r="J19" s="33">
        <f>SUMIFS('Udgifter (Forecast)'!$M:$M,'Udgifter (Forecast)'!$A:$A,$A19,'Udgifter (Forecast)'!$B:$B,"&lt;="&amp;DATE($A$7,J$8,1),'Udgifter (Forecast)'!$C:$C,"&gt;="&amp;DATE($A$7,J$8,1))</f>
        <v>0</v>
      </c>
      <c r="K19" s="33">
        <f>SUMIFS('Udgifter (Forecast)'!$M:$M,'Udgifter (Forecast)'!$A:$A,$A19,'Udgifter (Forecast)'!$B:$B,"&lt;="&amp;DATE($A$7,K$8,1),'Udgifter (Forecast)'!$C:$C,"&gt;="&amp;DATE($A$7,K$8,1))</f>
        <v>0</v>
      </c>
      <c r="L19" s="33">
        <f>SUMIFS('Udgifter (Forecast)'!$M:$M,'Udgifter (Forecast)'!$A:$A,$A19,'Udgifter (Forecast)'!$B:$B,"&lt;="&amp;DATE($A$7,L$8,1),'Udgifter (Forecast)'!$C:$C,"&gt;="&amp;DATE($A$7,L$8,1))</f>
        <v>0</v>
      </c>
      <c r="M19" s="34">
        <f>SUMIFS('Udgifter (Forecast)'!$M:$M,'Udgifter (Forecast)'!$A:$A,$A19,'Udgifter (Forecast)'!$B:$B,"&lt;="&amp;DATE($A$7,M$8,1),'Udgifter (Forecast)'!$C:$C,"&gt;="&amp;DATE($A$7,M$8,1))</f>
        <v>0</v>
      </c>
      <c r="N19" s="35">
        <f t="shared" si="1"/>
        <v>0</v>
      </c>
      <c r="O19" s="13"/>
      <c r="P19" s="13"/>
      <c r="Q19" s="13"/>
      <c r="R19" s="13"/>
      <c r="S19" s="13"/>
      <c r="T19" s="13"/>
      <c r="U19" s="13"/>
      <c r="V19" s="13"/>
      <c r="W19" s="13"/>
      <c r="X19" s="13"/>
      <c r="Y19" s="13"/>
      <c r="Z19" s="13"/>
    </row>
    <row r="20" spans="1:26">
      <c r="A20" s="30" t="s">
        <v>175</v>
      </c>
      <c r="B20" s="30">
        <f>SUMIFS('Udgifter (Forecast)'!$M:$M,'Udgifter (Forecast)'!$A:$A,$A20,'Udgifter (Forecast)'!$B:$B,"&lt;="&amp;DATE($A$7,B$8,1),'Udgifter (Forecast)'!$C:$C,"&gt;="&amp;DATE($A$7,B$8,1))</f>
        <v>0</v>
      </c>
      <c r="C20" s="30">
        <f>SUMIFS('Udgifter (Forecast)'!$M:$M,'Udgifter (Forecast)'!$A:$A,$A20,'Udgifter (Forecast)'!$B:$B,"&lt;="&amp;DATE($A$7,C$8,1),'Udgifter (Forecast)'!$C:$C,"&gt;="&amp;DATE($A$7,C$8,1))</f>
        <v>0</v>
      </c>
      <c r="D20" s="30">
        <f>SUMIFS('Udgifter (Forecast)'!$M:$M,'Udgifter (Forecast)'!$A:$A,$A20,'Udgifter (Forecast)'!$B:$B,"&lt;="&amp;DATE($A$7,D$8,1),'Udgifter (Forecast)'!$C:$C,"&gt;="&amp;DATE($A$7,D$8,1))</f>
        <v>0</v>
      </c>
      <c r="E20" s="30">
        <f>SUMIFS('Udgifter (Forecast)'!$M:$M,'Udgifter (Forecast)'!$A:$A,$A20,'Udgifter (Forecast)'!$B:$B,"&lt;="&amp;DATE($A$7,E$8,1),'Udgifter (Forecast)'!$C:$C,"&gt;="&amp;DATE($A$7,E$8,1))</f>
        <v>0</v>
      </c>
      <c r="F20" s="30">
        <f>SUMIFS('Udgifter (Forecast)'!$M:$M,'Udgifter (Forecast)'!$A:$A,$A20,'Udgifter (Forecast)'!$B:$B,"&lt;="&amp;DATE($A$7,F$8,1),'Udgifter (Forecast)'!$C:$C,"&gt;="&amp;DATE($A$7,F$8,1))</f>
        <v>0</v>
      </c>
      <c r="G20" s="30">
        <f>SUMIFS('Udgifter (Forecast)'!$M:$M,'Udgifter (Forecast)'!$A:$A,$A20,'Udgifter (Forecast)'!$B:$B,"&lt;="&amp;DATE($A$7,G$8,1),'Udgifter (Forecast)'!$C:$C,"&gt;="&amp;DATE($A$7,G$8,1))</f>
        <v>0</v>
      </c>
      <c r="H20" s="30">
        <f>SUMIFS('Udgifter (Forecast)'!$M:$M,'Udgifter (Forecast)'!$A:$A,$A20,'Udgifter (Forecast)'!$B:$B,"&lt;="&amp;DATE($A$7,H$8,1),'Udgifter (Forecast)'!$C:$C,"&gt;="&amp;DATE($A$7,H$8,1))</f>
        <v>0</v>
      </c>
      <c r="I20" s="30">
        <f>SUMIFS('Udgifter (Forecast)'!$M:$M,'Udgifter (Forecast)'!$A:$A,$A20,'Udgifter (Forecast)'!$B:$B,"&lt;="&amp;DATE($A$7,I$8,1),'Udgifter (Forecast)'!$C:$C,"&gt;="&amp;DATE($A$7,I$8,1))</f>
        <v>0</v>
      </c>
      <c r="J20" s="30">
        <f>SUMIFS('Udgifter (Forecast)'!$M:$M,'Udgifter (Forecast)'!$A:$A,$A20,'Udgifter (Forecast)'!$B:$B,"&lt;="&amp;DATE($A$7,J$8,1),'Udgifter (Forecast)'!$C:$C,"&gt;="&amp;DATE($A$7,J$8,1))</f>
        <v>0</v>
      </c>
      <c r="K20" s="30">
        <f>SUMIFS('Udgifter (Forecast)'!$M:$M,'Udgifter (Forecast)'!$A:$A,$A20,'Udgifter (Forecast)'!$B:$B,"&lt;="&amp;DATE($A$7,K$8,1),'Udgifter (Forecast)'!$C:$C,"&gt;="&amp;DATE($A$7,K$8,1))</f>
        <v>0</v>
      </c>
      <c r="L20" s="30">
        <f>SUMIFS('Udgifter (Forecast)'!$M:$M,'Udgifter (Forecast)'!$A:$A,$A20,'Udgifter (Forecast)'!$B:$B,"&lt;="&amp;DATE($A$7,L$8,1),'Udgifter (Forecast)'!$C:$C,"&gt;="&amp;DATE($A$7,L$8,1))</f>
        <v>0</v>
      </c>
      <c r="M20" s="31">
        <f>SUMIFS('Udgifter (Forecast)'!$M:$M,'Udgifter (Forecast)'!$A:$A,$A20,'Udgifter (Forecast)'!$B:$B,"&lt;="&amp;DATE($A$7,M$8,1),'Udgifter (Forecast)'!$C:$C,"&gt;="&amp;DATE($A$7,M$8,1))</f>
        <v>0</v>
      </c>
      <c r="N20" s="32">
        <f t="shared" si="1"/>
        <v>0</v>
      </c>
      <c r="O20" s="13"/>
      <c r="P20" s="13"/>
      <c r="Q20" s="13"/>
      <c r="R20" s="13"/>
      <c r="S20" s="13"/>
      <c r="T20" s="13"/>
      <c r="U20" s="13"/>
      <c r="V20" s="13"/>
      <c r="W20" s="13"/>
      <c r="X20" s="13"/>
      <c r="Y20" s="13"/>
      <c r="Z20" s="13"/>
    </row>
    <row r="21" spans="1:26">
      <c r="A21" s="33" t="s">
        <v>176</v>
      </c>
      <c r="B21" s="33">
        <f>SUMIFS('Udgifter (Forecast)'!$M:$M,'Udgifter (Forecast)'!$A:$A,$A21,'Udgifter (Forecast)'!$B:$B,"&lt;="&amp;DATE($A$7,B$8,1),'Udgifter (Forecast)'!$C:$C,"&gt;="&amp;DATE($A$7,B$8,1))</f>
        <v>0</v>
      </c>
      <c r="C21" s="33">
        <f>SUMIFS('Udgifter (Forecast)'!$M:$M,'Udgifter (Forecast)'!$A:$A,$A21,'Udgifter (Forecast)'!$B:$B,"&lt;="&amp;DATE($A$7,C$8,1),'Udgifter (Forecast)'!$C:$C,"&gt;="&amp;DATE($A$7,C$8,1))</f>
        <v>0</v>
      </c>
      <c r="D21" s="33">
        <f>SUMIFS('Udgifter (Forecast)'!$M:$M,'Udgifter (Forecast)'!$A:$A,$A21,'Udgifter (Forecast)'!$B:$B,"&lt;="&amp;DATE($A$7,D$8,1),'Udgifter (Forecast)'!$C:$C,"&gt;="&amp;DATE($A$7,D$8,1))</f>
        <v>0</v>
      </c>
      <c r="E21" s="33">
        <f>SUMIFS('Udgifter (Forecast)'!$M:$M,'Udgifter (Forecast)'!$A:$A,$A21,'Udgifter (Forecast)'!$B:$B,"&lt;="&amp;DATE($A$7,E$8,1),'Udgifter (Forecast)'!$C:$C,"&gt;="&amp;DATE($A$7,E$8,1))</f>
        <v>0</v>
      </c>
      <c r="F21" s="33">
        <f>SUMIFS('Udgifter (Forecast)'!$M:$M,'Udgifter (Forecast)'!$A:$A,$A21,'Udgifter (Forecast)'!$B:$B,"&lt;="&amp;DATE($A$7,F$8,1),'Udgifter (Forecast)'!$C:$C,"&gt;="&amp;DATE($A$7,F$8,1))</f>
        <v>0</v>
      </c>
      <c r="G21" s="33">
        <f>SUMIFS('Udgifter (Forecast)'!$M:$M,'Udgifter (Forecast)'!$A:$A,$A21,'Udgifter (Forecast)'!$B:$B,"&lt;="&amp;DATE($A$7,G$8,1),'Udgifter (Forecast)'!$C:$C,"&gt;="&amp;DATE($A$7,G$8,1))</f>
        <v>0</v>
      </c>
      <c r="H21" s="33">
        <f>SUMIFS('Udgifter (Forecast)'!$M:$M,'Udgifter (Forecast)'!$A:$A,$A21,'Udgifter (Forecast)'!$B:$B,"&lt;="&amp;DATE($A$7,H$8,1),'Udgifter (Forecast)'!$C:$C,"&gt;="&amp;DATE($A$7,H$8,1))</f>
        <v>0</v>
      </c>
      <c r="I21" s="33">
        <f>SUMIFS('Udgifter (Forecast)'!$M:$M,'Udgifter (Forecast)'!$A:$A,$A21,'Udgifter (Forecast)'!$B:$B,"&lt;="&amp;DATE($A$7,I$8,1),'Udgifter (Forecast)'!$C:$C,"&gt;="&amp;DATE($A$7,I$8,1))</f>
        <v>0</v>
      </c>
      <c r="J21" s="33">
        <f>SUMIFS('Udgifter (Forecast)'!$M:$M,'Udgifter (Forecast)'!$A:$A,$A21,'Udgifter (Forecast)'!$B:$B,"&lt;="&amp;DATE($A$7,J$8,1),'Udgifter (Forecast)'!$C:$C,"&gt;="&amp;DATE($A$7,J$8,1))</f>
        <v>0</v>
      </c>
      <c r="K21" s="33">
        <f>SUMIFS('Udgifter (Forecast)'!$M:$M,'Udgifter (Forecast)'!$A:$A,$A21,'Udgifter (Forecast)'!$B:$B,"&lt;="&amp;DATE($A$7,K$8,1),'Udgifter (Forecast)'!$C:$C,"&gt;="&amp;DATE($A$7,K$8,1))</f>
        <v>0</v>
      </c>
      <c r="L21" s="33">
        <f>SUMIFS('Udgifter (Forecast)'!$M:$M,'Udgifter (Forecast)'!$A:$A,$A21,'Udgifter (Forecast)'!$B:$B,"&lt;="&amp;DATE($A$7,L$8,1),'Udgifter (Forecast)'!$C:$C,"&gt;="&amp;DATE($A$7,L$8,1))</f>
        <v>0</v>
      </c>
      <c r="M21" s="34">
        <f>SUMIFS('Udgifter (Forecast)'!$M:$M,'Udgifter (Forecast)'!$A:$A,$A21,'Udgifter (Forecast)'!$B:$B,"&lt;="&amp;DATE($A$7,M$8,1),'Udgifter (Forecast)'!$C:$C,"&gt;="&amp;DATE($A$7,M$8,1))</f>
        <v>0</v>
      </c>
      <c r="N21" s="35">
        <f t="shared" si="1"/>
        <v>0</v>
      </c>
      <c r="O21" s="13"/>
      <c r="P21" s="13"/>
      <c r="Q21" s="13"/>
      <c r="R21" s="13"/>
      <c r="S21" s="13"/>
      <c r="T21" s="13"/>
      <c r="U21" s="13"/>
      <c r="V21" s="13"/>
      <c r="W21" s="13"/>
      <c r="X21" s="13"/>
      <c r="Y21" s="13"/>
      <c r="Z21" s="13"/>
    </row>
    <row r="22" spans="1:26">
      <c r="A22" s="30" t="s">
        <v>177</v>
      </c>
      <c r="B22" s="30">
        <f>SUMIFS('Udgifter (Forecast)'!$M:$M,'Udgifter (Forecast)'!$A:$A,$A22,'Udgifter (Forecast)'!$B:$B,"&lt;="&amp;DATE($A$7,B$8,1),'Udgifter (Forecast)'!$C:$C,"&gt;="&amp;DATE($A$7,B$8,1))</f>
        <v>0</v>
      </c>
      <c r="C22" s="30">
        <f>SUMIFS('Udgifter (Forecast)'!$M:$M,'Udgifter (Forecast)'!$A:$A,$A22,'Udgifter (Forecast)'!$B:$B,"&lt;="&amp;DATE($A$7,C$8,1),'Udgifter (Forecast)'!$C:$C,"&gt;="&amp;DATE($A$7,C$8,1))</f>
        <v>0</v>
      </c>
      <c r="D22" s="30">
        <f>SUMIFS('Udgifter (Forecast)'!$M:$M,'Udgifter (Forecast)'!$A:$A,$A22,'Udgifter (Forecast)'!$B:$B,"&lt;="&amp;DATE($A$7,D$8,1),'Udgifter (Forecast)'!$C:$C,"&gt;="&amp;DATE($A$7,D$8,1))</f>
        <v>0</v>
      </c>
      <c r="E22" s="30">
        <f>SUMIFS('Udgifter (Forecast)'!$M:$M,'Udgifter (Forecast)'!$A:$A,$A22,'Udgifter (Forecast)'!$B:$B,"&lt;="&amp;DATE($A$7,E$8,1),'Udgifter (Forecast)'!$C:$C,"&gt;="&amp;DATE($A$7,E$8,1))</f>
        <v>0</v>
      </c>
      <c r="F22" s="30">
        <f>SUMIFS('Udgifter (Forecast)'!$M:$M,'Udgifter (Forecast)'!$A:$A,$A22,'Udgifter (Forecast)'!$B:$B,"&lt;="&amp;DATE($A$7,F$8,1),'Udgifter (Forecast)'!$C:$C,"&gt;="&amp;DATE($A$7,F$8,1))</f>
        <v>0</v>
      </c>
      <c r="G22" s="30">
        <f>SUMIFS('Udgifter (Forecast)'!$M:$M,'Udgifter (Forecast)'!$A:$A,$A22,'Udgifter (Forecast)'!$B:$B,"&lt;="&amp;DATE($A$7,G$8,1),'Udgifter (Forecast)'!$C:$C,"&gt;="&amp;DATE($A$7,G$8,1))</f>
        <v>0</v>
      </c>
      <c r="H22" s="30">
        <f>SUMIFS('Udgifter (Forecast)'!$M:$M,'Udgifter (Forecast)'!$A:$A,$A22,'Udgifter (Forecast)'!$B:$B,"&lt;="&amp;DATE($A$7,H$8,1),'Udgifter (Forecast)'!$C:$C,"&gt;="&amp;DATE($A$7,H$8,1))</f>
        <v>0</v>
      </c>
      <c r="I22" s="30">
        <f>SUMIFS('Udgifter (Forecast)'!$M:$M,'Udgifter (Forecast)'!$A:$A,$A22,'Udgifter (Forecast)'!$B:$B,"&lt;="&amp;DATE($A$7,I$8,1),'Udgifter (Forecast)'!$C:$C,"&gt;="&amp;DATE($A$7,I$8,1))</f>
        <v>0</v>
      </c>
      <c r="J22" s="30">
        <f>SUMIFS('Udgifter (Forecast)'!$M:$M,'Udgifter (Forecast)'!$A:$A,$A22,'Udgifter (Forecast)'!$B:$B,"&lt;="&amp;DATE($A$7,J$8,1),'Udgifter (Forecast)'!$C:$C,"&gt;="&amp;DATE($A$7,J$8,1))</f>
        <v>0</v>
      </c>
      <c r="K22" s="30">
        <f>SUMIFS('Udgifter (Forecast)'!$M:$M,'Udgifter (Forecast)'!$A:$A,$A22,'Udgifter (Forecast)'!$B:$B,"&lt;="&amp;DATE($A$7,K$8,1),'Udgifter (Forecast)'!$C:$C,"&gt;="&amp;DATE($A$7,K$8,1))</f>
        <v>0</v>
      </c>
      <c r="L22" s="30">
        <f>SUMIFS('Udgifter (Forecast)'!$M:$M,'Udgifter (Forecast)'!$A:$A,$A22,'Udgifter (Forecast)'!$B:$B,"&lt;="&amp;DATE($A$7,L$8,1),'Udgifter (Forecast)'!$C:$C,"&gt;="&amp;DATE($A$7,L$8,1))</f>
        <v>0</v>
      </c>
      <c r="M22" s="31">
        <f>SUMIFS('Udgifter (Forecast)'!$M:$M,'Udgifter (Forecast)'!$A:$A,$A22,'Udgifter (Forecast)'!$B:$B,"&lt;="&amp;DATE($A$7,M$8,1),'Udgifter (Forecast)'!$C:$C,"&gt;="&amp;DATE($A$7,M$8,1))</f>
        <v>0</v>
      </c>
      <c r="N22" s="32">
        <f t="shared" si="1"/>
        <v>0</v>
      </c>
      <c r="O22" s="13"/>
      <c r="P22" s="13"/>
      <c r="Q22" s="13"/>
      <c r="R22" s="13"/>
      <c r="S22" s="13"/>
      <c r="T22" s="13"/>
      <c r="U22" s="13"/>
      <c r="V22" s="13"/>
      <c r="W22" s="13"/>
      <c r="X22" s="13"/>
      <c r="Y22" s="13"/>
      <c r="Z22" s="13"/>
    </row>
    <row r="23" spans="1:26">
      <c r="A23" s="33" t="s">
        <v>101</v>
      </c>
      <c r="B23" s="33">
        <f>SUMIFS('Udgifter (Forecast)'!$M:$M,'Udgifter (Forecast)'!$A:$A,$A23,'Udgifter (Forecast)'!$B:$B,"&lt;="&amp;DATE($A$7,B$8,1),'Udgifter (Forecast)'!$C:$C,"&gt;="&amp;DATE($A$7,B$8,1))</f>
        <v>0</v>
      </c>
      <c r="C23" s="33">
        <f>SUMIFS('Udgifter (Forecast)'!$M:$M,'Udgifter (Forecast)'!$A:$A,$A23,'Udgifter (Forecast)'!$B:$B,"&lt;="&amp;DATE($A$7,C$8,1),'Udgifter (Forecast)'!$C:$C,"&gt;="&amp;DATE($A$7,C$8,1))</f>
        <v>0</v>
      </c>
      <c r="D23" s="33">
        <f>SUMIFS('Udgifter (Forecast)'!$M:$M,'Udgifter (Forecast)'!$A:$A,$A23,'Udgifter (Forecast)'!$B:$B,"&lt;="&amp;DATE($A$7,D$8,1),'Udgifter (Forecast)'!$C:$C,"&gt;="&amp;DATE($A$7,D$8,1))</f>
        <v>0</v>
      </c>
      <c r="E23" s="33">
        <f>SUMIFS('Udgifter (Forecast)'!$M:$M,'Udgifter (Forecast)'!$A:$A,$A23,'Udgifter (Forecast)'!$B:$B,"&lt;="&amp;DATE($A$7,E$8,1),'Udgifter (Forecast)'!$C:$C,"&gt;="&amp;DATE($A$7,E$8,1))</f>
        <v>0</v>
      </c>
      <c r="F23" s="33">
        <f>SUMIFS('Udgifter (Forecast)'!$M:$M,'Udgifter (Forecast)'!$A:$A,$A23,'Udgifter (Forecast)'!$B:$B,"&lt;="&amp;DATE($A$7,F$8,1),'Udgifter (Forecast)'!$C:$C,"&gt;="&amp;DATE($A$7,F$8,1))</f>
        <v>8800</v>
      </c>
      <c r="G23" s="33">
        <f>SUMIFS('Udgifter (Forecast)'!$M:$M,'Udgifter (Forecast)'!$A:$A,$A23,'Udgifter (Forecast)'!$B:$B,"&lt;="&amp;DATE($A$7,G$8,1),'Udgifter (Forecast)'!$C:$C,"&gt;="&amp;DATE($A$7,G$8,1))</f>
        <v>8800</v>
      </c>
      <c r="H23" s="33">
        <f>SUMIFS('Udgifter (Forecast)'!$M:$M,'Udgifter (Forecast)'!$A:$A,$A23,'Udgifter (Forecast)'!$B:$B,"&lt;="&amp;DATE($A$7,H$8,1),'Udgifter (Forecast)'!$C:$C,"&gt;="&amp;DATE($A$7,H$8,1))</f>
        <v>0</v>
      </c>
      <c r="I23" s="33">
        <f>SUMIFS('Udgifter (Forecast)'!$M:$M,'Udgifter (Forecast)'!$A:$A,$A23,'Udgifter (Forecast)'!$B:$B,"&lt;="&amp;DATE($A$7,I$8,1),'Udgifter (Forecast)'!$C:$C,"&gt;="&amp;DATE($A$7,I$8,1))</f>
        <v>0</v>
      </c>
      <c r="J23" s="33">
        <f>SUMIFS('Udgifter (Forecast)'!$M:$M,'Udgifter (Forecast)'!$A:$A,$A23,'Udgifter (Forecast)'!$B:$B,"&lt;="&amp;DATE($A$7,J$8,1),'Udgifter (Forecast)'!$C:$C,"&gt;="&amp;DATE($A$7,J$8,1))</f>
        <v>0</v>
      </c>
      <c r="K23" s="33">
        <f>SUMIFS('Udgifter (Forecast)'!$M:$M,'Udgifter (Forecast)'!$A:$A,$A23,'Udgifter (Forecast)'!$B:$B,"&lt;="&amp;DATE($A$7,K$8,1),'Udgifter (Forecast)'!$C:$C,"&gt;="&amp;DATE($A$7,K$8,1))</f>
        <v>0</v>
      </c>
      <c r="L23" s="33">
        <f>SUMIFS('Udgifter (Forecast)'!$M:$M,'Udgifter (Forecast)'!$A:$A,$A23,'Udgifter (Forecast)'!$B:$B,"&lt;="&amp;DATE($A$7,L$8,1),'Udgifter (Forecast)'!$C:$C,"&gt;="&amp;DATE($A$7,L$8,1))</f>
        <v>0</v>
      </c>
      <c r="M23" s="34">
        <f>SUMIFS('Udgifter (Forecast)'!$M:$M,'Udgifter (Forecast)'!$A:$A,$A23,'Udgifter (Forecast)'!$B:$B,"&lt;="&amp;DATE($A$7,M$8,1),'Udgifter (Forecast)'!$C:$C,"&gt;="&amp;DATE($A$7,M$8,1))</f>
        <v>0</v>
      </c>
      <c r="N23" s="35">
        <f t="shared" si="1"/>
        <v>17600</v>
      </c>
      <c r="O23" s="13"/>
      <c r="P23" s="13"/>
      <c r="Q23" s="13"/>
      <c r="R23" s="13"/>
      <c r="S23" s="13"/>
      <c r="T23" s="13"/>
      <c r="U23" s="13"/>
      <c r="V23" s="13"/>
      <c r="W23" s="13"/>
      <c r="X23" s="13"/>
      <c r="Y23" s="13"/>
      <c r="Z23" s="13"/>
    </row>
    <row r="24" spans="1:26">
      <c r="A24" s="30" t="s">
        <v>102</v>
      </c>
      <c r="B24" s="30">
        <f>SUMIFS('Udgifter (Forecast)'!$M:$M,'Udgifter (Forecast)'!$A:$A,$A24,'Udgifter (Forecast)'!$B:$B,"&lt;="&amp;DATE($A$7,B$8,1),'Udgifter (Forecast)'!$C:$C,"&gt;="&amp;DATE($A$7,B$8,1))</f>
        <v>640</v>
      </c>
      <c r="C24" s="30">
        <f>SUMIFS('Udgifter (Forecast)'!$M:$M,'Udgifter (Forecast)'!$A:$A,$A24,'Udgifter (Forecast)'!$B:$B,"&lt;="&amp;DATE($A$7,C$8,1),'Udgifter (Forecast)'!$C:$C,"&gt;="&amp;DATE($A$7,C$8,1))</f>
        <v>640</v>
      </c>
      <c r="D24" s="30">
        <f>SUMIFS('Udgifter (Forecast)'!$M:$M,'Udgifter (Forecast)'!$A:$A,$A24,'Udgifter (Forecast)'!$B:$B,"&lt;="&amp;DATE($A$7,D$8,1),'Udgifter (Forecast)'!$C:$C,"&gt;="&amp;DATE($A$7,D$8,1))</f>
        <v>640</v>
      </c>
      <c r="E24" s="30">
        <f>SUMIFS('Udgifter (Forecast)'!$M:$M,'Udgifter (Forecast)'!$A:$A,$A24,'Udgifter (Forecast)'!$B:$B,"&lt;="&amp;DATE($A$7,E$8,1),'Udgifter (Forecast)'!$C:$C,"&gt;="&amp;DATE($A$7,E$8,1))</f>
        <v>640</v>
      </c>
      <c r="F24" s="30">
        <f>SUMIFS('Udgifter (Forecast)'!$M:$M,'Udgifter (Forecast)'!$A:$A,$A24,'Udgifter (Forecast)'!$B:$B,"&lt;="&amp;DATE($A$7,F$8,1),'Udgifter (Forecast)'!$C:$C,"&gt;="&amp;DATE($A$7,F$8,1))</f>
        <v>640</v>
      </c>
      <c r="G24" s="30">
        <f>SUMIFS('Udgifter (Forecast)'!$M:$M,'Udgifter (Forecast)'!$A:$A,$A24,'Udgifter (Forecast)'!$B:$B,"&lt;="&amp;DATE($A$7,G$8,1),'Udgifter (Forecast)'!$C:$C,"&gt;="&amp;DATE($A$7,G$8,1))</f>
        <v>0</v>
      </c>
      <c r="H24" s="30">
        <f>SUMIFS('Udgifter (Forecast)'!$M:$M,'Udgifter (Forecast)'!$A:$A,$A24,'Udgifter (Forecast)'!$B:$B,"&lt;="&amp;DATE($A$7,H$8,1),'Udgifter (Forecast)'!$C:$C,"&gt;="&amp;DATE($A$7,H$8,1))</f>
        <v>0</v>
      </c>
      <c r="I24" s="30">
        <f>SUMIFS('Udgifter (Forecast)'!$M:$M,'Udgifter (Forecast)'!$A:$A,$A24,'Udgifter (Forecast)'!$B:$B,"&lt;="&amp;DATE($A$7,I$8,1),'Udgifter (Forecast)'!$C:$C,"&gt;="&amp;DATE($A$7,I$8,1))</f>
        <v>0</v>
      </c>
      <c r="J24" s="30">
        <f>SUMIFS('Udgifter (Forecast)'!$M:$M,'Udgifter (Forecast)'!$A:$A,$A24,'Udgifter (Forecast)'!$B:$B,"&lt;="&amp;DATE($A$7,J$8,1),'Udgifter (Forecast)'!$C:$C,"&gt;="&amp;DATE($A$7,J$8,1))</f>
        <v>0</v>
      </c>
      <c r="K24" s="30">
        <f>SUMIFS('Udgifter (Forecast)'!$M:$M,'Udgifter (Forecast)'!$A:$A,$A24,'Udgifter (Forecast)'!$B:$B,"&lt;="&amp;DATE($A$7,K$8,1),'Udgifter (Forecast)'!$C:$C,"&gt;="&amp;DATE($A$7,K$8,1))</f>
        <v>0</v>
      </c>
      <c r="L24" s="30">
        <f>SUMIFS('Udgifter (Forecast)'!$M:$M,'Udgifter (Forecast)'!$A:$A,$A24,'Udgifter (Forecast)'!$B:$B,"&lt;="&amp;DATE($A$7,L$8,1),'Udgifter (Forecast)'!$C:$C,"&gt;="&amp;DATE($A$7,L$8,1))</f>
        <v>0</v>
      </c>
      <c r="M24" s="31">
        <f>SUMIFS('Udgifter (Forecast)'!$M:$M,'Udgifter (Forecast)'!$A:$A,$A24,'Udgifter (Forecast)'!$B:$B,"&lt;="&amp;DATE($A$7,M$8,1),'Udgifter (Forecast)'!$C:$C,"&gt;="&amp;DATE($A$7,M$8,1))</f>
        <v>0</v>
      </c>
      <c r="N24" s="32">
        <f t="shared" si="1"/>
        <v>3200</v>
      </c>
      <c r="O24" s="13"/>
      <c r="P24" s="13"/>
      <c r="Q24" s="13"/>
      <c r="R24" s="13"/>
      <c r="S24" s="13"/>
      <c r="T24" s="13"/>
      <c r="U24" s="13"/>
      <c r="V24" s="13"/>
      <c r="W24" s="13"/>
      <c r="X24" s="13"/>
      <c r="Y24" s="13"/>
      <c r="Z24" s="13"/>
    </row>
    <row r="25" spans="1:26">
      <c r="A25" s="33" t="s">
        <v>103</v>
      </c>
      <c r="B25" s="33">
        <f>SUMIFS('Udgifter (Forecast)'!$M:$M,'Udgifter (Forecast)'!$A:$A,$A25,'Udgifter (Forecast)'!$B:$B,"&lt;="&amp;DATE($A$7,B$8,1),'Udgifter (Forecast)'!$C:$C,"&gt;="&amp;DATE($A$7,B$8,1))</f>
        <v>0</v>
      </c>
      <c r="C25" s="33">
        <f>SUMIFS('Udgifter (Forecast)'!$M:$M,'Udgifter (Forecast)'!$A:$A,$A25,'Udgifter (Forecast)'!$B:$B,"&lt;="&amp;DATE($A$7,C$8,1),'Udgifter (Forecast)'!$C:$C,"&gt;="&amp;DATE($A$7,C$8,1))</f>
        <v>0</v>
      </c>
      <c r="D25" s="33">
        <f>SUMIFS('Udgifter (Forecast)'!$M:$M,'Udgifter (Forecast)'!$A:$A,$A25,'Udgifter (Forecast)'!$B:$B,"&lt;="&amp;DATE($A$7,D$8,1),'Udgifter (Forecast)'!$C:$C,"&gt;="&amp;DATE($A$7,D$8,1))</f>
        <v>0</v>
      </c>
      <c r="E25" s="33">
        <f>SUMIFS('Udgifter (Forecast)'!$M:$M,'Udgifter (Forecast)'!$A:$A,$A25,'Udgifter (Forecast)'!$B:$B,"&lt;="&amp;DATE($A$7,E$8,1),'Udgifter (Forecast)'!$C:$C,"&gt;="&amp;DATE($A$7,E$8,1))</f>
        <v>0</v>
      </c>
      <c r="F25" s="33">
        <f>SUMIFS('Udgifter (Forecast)'!$M:$M,'Udgifter (Forecast)'!$A:$A,$A25,'Udgifter (Forecast)'!$B:$B,"&lt;="&amp;DATE($A$7,F$8,1),'Udgifter (Forecast)'!$C:$C,"&gt;="&amp;DATE($A$7,F$8,1))</f>
        <v>0</v>
      </c>
      <c r="G25" s="33">
        <f>SUMIFS('Udgifter (Forecast)'!$M:$M,'Udgifter (Forecast)'!$A:$A,$A25,'Udgifter (Forecast)'!$B:$B,"&lt;="&amp;DATE($A$7,G$8,1),'Udgifter (Forecast)'!$C:$C,"&gt;="&amp;DATE($A$7,G$8,1))</f>
        <v>0</v>
      </c>
      <c r="H25" s="33">
        <f>SUMIFS('Udgifter (Forecast)'!$M:$M,'Udgifter (Forecast)'!$A:$A,$A25,'Udgifter (Forecast)'!$B:$B,"&lt;="&amp;DATE($A$7,H$8,1),'Udgifter (Forecast)'!$C:$C,"&gt;="&amp;DATE($A$7,H$8,1))</f>
        <v>0</v>
      </c>
      <c r="I25" s="33">
        <f>SUMIFS('Udgifter (Forecast)'!$M:$M,'Udgifter (Forecast)'!$A:$A,$A25,'Udgifter (Forecast)'!$B:$B,"&lt;="&amp;DATE($A$7,I$8,1),'Udgifter (Forecast)'!$C:$C,"&gt;="&amp;DATE($A$7,I$8,1))</f>
        <v>0</v>
      </c>
      <c r="J25" s="33">
        <f>SUMIFS('Udgifter (Forecast)'!$M:$M,'Udgifter (Forecast)'!$A:$A,$A25,'Udgifter (Forecast)'!$B:$B,"&lt;="&amp;DATE($A$7,J$8,1),'Udgifter (Forecast)'!$C:$C,"&gt;="&amp;DATE($A$7,J$8,1))</f>
        <v>0</v>
      </c>
      <c r="K25" s="33">
        <f>SUMIFS('Udgifter (Forecast)'!$M:$M,'Udgifter (Forecast)'!$A:$A,$A25,'Udgifter (Forecast)'!$B:$B,"&lt;="&amp;DATE($A$7,K$8,1),'Udgifter (Forecast)'!$C:$C,"&gt;="&amp;DATE($A$7,K$8,1))</f>
        <v>960</v>
      </c>
      <c r="L25" s="33">
        <f>SUMIFS('Udgifter (Forecast)'!$M:$M,'Udgifter (Forecast)'!$A:$A,$A25,'Udgifter (Forecast)'!$B:$B,"&lt;="&amp;DATE($A$7,L$8,1),'Udgifter (Forecast)'!$C:$C,"&gt;="&amp;DATE($A$7,L$8,1))</f>
        <v>960</v>
      </c>
      <c r="M25" s="34">
        <f>SUMIFS('Udgifter (Forecast)'!$M:$M,'Udgifter (Forecast)'!$A:$A,$A25,'Udgifter (Forecast)'!$B:$B,"&lt;="&amp;DATE($A$7,M$8,1),'Udgifter (Forecast)'!$C:$C,"&gt;="&amp;DATE($A$7,M$8,1))</f>
        <v>960</v>
      </c>
      <c r="N25" s="35">
        <f t="shared" si="1"/>
        <v>2880</v>
      </c>
      <c r="O25" s="13"/>
      <c r="P25" s="13"/>
      <c r="Q25" s="13"/>
      <c r="R25" s="13"/>
      <c r="S25" s="13"/>
      <c r="T25" s="13"/>
      <c r="U25" s="13"/>
      <c r="V25" s="13"/>
      <c r="W25" s="13"/>
      <c r="X25" s="13"/>
      <c r="Y25" s="13"/>
      <c r="Z25" s="13"/>
    </row>
    <row r="26" spans="1:26">
      <c r="A26" s="30" t="s">
        <v>104</v>
      </c>
      <c r="B26" s="30">
        <f>SUMIFS('Udgifter (Forecast)'!$M:$M,'Udgifter (Forecast)'!$A:$A,$A26,'Udgifter (Forecast)'!$B:$B,"&lt;="&amp;DATE($A$7,B$8,1),'Udgifter (Forecast)'!$C:$C,"&gt;="&amp;DATE($A$7,B$8,1))</f>
        <v>0</v>
      </c>
      <c r="C26" s="30">
        <f>SUMIFS('Udgifter (Forecast)'!$M:$M,'Udgifter (Forecast)'!$A:$A,$A26,'Udgifter (Forecast)'!$B:$B,"&lt;="&amp;DATE($A$7,C$8,1),'Udgifter (Forecast)'!$C:$C,"&gt;="&amp;DATE($A$7,C$8,1))</f>
        <v>0</v>
      </c>
      <c r="D26" s="30">
        <f>SUMIFS('Udgifter (Forecast)'!$M:$M,'Udgifter (Forecast)'!$A:$A,$A26,'Udgifter (Forecast)'!$B:$B,"&lt;="&amp;DATE($A$7,D$8,1),'Udgifter (Forecast)'!$C:$C,"&gt;="&amp;DATE($A$7,D$8,1))</f>
        <v>0</v>
      </c>
      <c r="E26" s="30">
        <f>SUMIFS('Udgifter (Forecast)'!$M:$M,'Udgifter (Forecast)'!$A:$A,$A26,'Udgifter (Forecast)'!$B:$B,"&lt;="&amp;DATE($A$7,E$8,1),'Udgifter (Forecast)'!$C:$C,"&gt;="&amp;DATE($A$7,E$8,1))</f>
        <v>0</v>
      </c>
      <c r="F26" s="30">
        <f>SUMIFS('Udgifter (Forecast)'!$M:$M,'Udgifter (Forecast)'!$A:$A,$A26,'Udgifter (Forecast)'!$B:$B,"&lt;="&amp;DATE($A$7,F$8,1),'Udgifter (Forecast)'!$C:$C,"&gt;="&amp;DATE($A$7,F$8,1))</f>
        <v>0</v>
      </c>
      <c r="G26" s="30">
        <f>SUMIFS('Udgifter (Forecast)'!$M:$M,'Udgifter (Forecast)'!$A:$A,$A26,'Udgifter (Forecast)'!$B:$B,"&lt;="&amp;DATE($A$7,G$8,1),'Udgifter (Forecast)'!$C:$C,"&gt;="&amp;DATE($A$7,G$8,1))</f>
        <v>0</v>
      </c>
      <c r="H26" s="30">
        <f>SUMIFS('Udgifter (Forecast)'!$M:$M,'Udgifter (Forecast)'!$A:$A,$A26,'Udgifter (Forecast)'!$B:$B,"&lt;="&amp;DATE($A$7,H$8,1),'Udgifter (Forecast)'!$C:$C,"&gt;="&amp;DATE($A$7,H$8,1))</f>
        <v>0</v>
      </c>
      <c r="I26" s="30">
        <f>SUMIFS('Udgifter (Forecast)'!$M:$M,'Udgifter (Forecast)'!$A:$A,$A26,'Udgifter (Forecast)'!$B:$B,"&lt;="&amp;DATE($A$7,I$8,1),'Udgifter (Forecast)'!$C:$C,"&gt;="&amp;DATE($A$7,I$8,1))</f>
        <v>0</v>
      </c>
      <c r="J26" s="30">
        <f>SUMIFS('Udgifter (Forecast)'!$M:$M,'Udgifter (Forecast)'!$A:$A,$A26,'Udgifter (Forecast)'!$B:$B,"&lt;="&amp;DATE($A$7,J$8,1),'Udgifter (Forecast)'!$C:$C,"&gt;="&amp;DATE($A$7,J$8,1))</f>
        <v>0</v>
      </c>
      <c r="K26" s="30">
        <f>SUMIFS('Udgifter (Forecast)'!$M:$M,'Udgifter (Forecast)'!$A:$A,$A26,'Udgifter (Forecast)'!$B:$B,"&lt;="&amp;DATE($A$7,K$8,1),'Udgifter (Forecast)'!$C:$C,"&gt;="&amp;DATE($A$7,K$8,1))</f>
        <v>0</v>
      </c>
      <c r="L26" s="30">
        <f>SUMIFS('Udgifter (Forecast)'!$M:$M,'Udgifter (Forecast)'!$A:$A,$A26,'Udgifter (Forecast)'!$B:$B,"&lt;="&amp;DATE($A$7,L$8,1),'Udgifter (Forecast)'!$C:$C,"&gt;="&amp;DATE($A$7,L$8,1))</f>
        <v>0</v>
      </c>
      <c r="M26" s="31">
        <f>SUMIFS('Udgifter (Forecast)'!$M:$M,'Udgifter (Forecast)'!$A:$A,$A26,'Udgifter (Forecast)'!$B:$B,"&lt;="&amp;DATE($A$7,M$8,1),'Udgifter (Forecast)'!$C:$C,"&gt;="&amp;DATE($A$7,M$8,1))</f>
        <v>0</v>
      </c>
      <c r="N26" s="32">
        <f t="shared" si="1"/>
        <v>0</v>
      </c>
      <c r="O26" s="13"/>
      <c r="P26" s="13"/>
      <c r="Q26" s="13"/>
      <c r="R26" s="13"/>
      <c r="S26" s="13"/>
      <c r="T26" s="13"/>
      <c r="U26" s="13"/>
      <c r="V26" s="13"/>
      <c r="W26" s="13"/>
      <c r="X26" s="13"/>
      <c r="Y26" s="13"/>
      <c r="Z26" s="13"/>
    </row>
    <row r="27" spans="1:26">
      <c r="A27" s="33" t="s">
        <v>105</v>
      </c>
      <c r="B27" s="33">
        <f>SUMIFS('Udgifter (Forecast)'!$M:$M,'Udgifter (Forecast)'!$A:$A,$A27,'Udgifter (Forecast)'!$B:$B,"&lt;="&amp;DATE($A$7,B$8,1),'Udgifter (Forecast)'!$C:$C,"&gt;="&amp;DATE($A$7,B$8,1))</f>
        <v>0</v>
      </c>
      <c r="C27" s="33">
        <f>SUMIFS('Udgifter (Forecast)'!$M:$M,'Udgifter (Forecast)'!$A:$A,$A27,'Udgifter (Forecast)'!$B:$B,"&lt;="&amp;DATE($A$7,C$8,1),'Udgifter (Forecast)'!$C:$C,"&gt;="&amp;DATE($A$7,C$8,1))</f>
        <v>0</v>
      </c>
      <c r="D27" s="33">
        <f>SUMIFS('Udgifter (Forecast)'!$M:$M,'Udgifter (Forecast)'!$A:$A,$A27,'Udgifter (Forecast)'!$B:$B,"&lt;="&amp;DATE($A$7,D$8,1),'Udgifter (Forecast)'!$C:$C,"&gt;="&amp;DATE($A$7,D$8,1))</f>
        <v>0</v>
      </c>
      <c r="E27" s="33">
        <f>SUMIFS('Udgifter (Forecast)'!$M:$M,'Udgifter (Forecast)'!$A:$A,$A27,'Udgifter (Forecast)'!$B:$B,"&lt;="&amp;DATE($A$7,E$8,1),'Udgifter (Forecast)'!$C:$C,"&gt;="&amp;DATE($A$7,E$8,1))</f>
        <v>0</v>
      </c>
      <c r="F27" s="33">
        <f>SUMIFS('Udgifter (Forecast)'!$M:$M,'Udgifter (Forecast)'!$A:$A,$A27,'Udgifter (Forecast)'!$B:$B,"&lt;="&amp;DATE($A$7,F$8,1),'Udgifter (Forecast)'!$C:$C,"&gt;="&amp;DATE($A$7,F$8,1))</f>
        <v>0</v>
      </c>
      <c r="G27" s="33">
        <f>SUMIFS('Udgifter (Forecast)'!$M:$M,'Udgifter (Forecast)'!$A:$A,$A27,'Udgifter (Forecast)'!$B:$B,"&lt;="&amp;DATE($A$7,G$8,1),'Udgifter (Forecast)'!$C:$C,"&gt;="&amp;DATE($A$7,G$8,1))</f>
        <v>0</v>
      </c>
      <c r="H27" s="33">
        <f>SUMIFS('Udgifter (Forecast)'!$M:$M,'Udgifter (Forecast)'!$A:$A,$A27,'Udgifter (Forecast)'!$B:$B,"&lt;="&amp;DATE($A$7,H$8,1),'Udgifter (Forecast)'!$C:$C,"&gt;="&amp;DATE($A$7,H$8,1))</f>
        <v>0</v>
      </c>
      <c r="I27" s="33">
        <f>SUMIFS('Udgifter (Forecast)'!$M:$M,'Udgifter (Forecast)'!$A:$A,$A27,'Udgifter (Forecast)'!$B:$B,"&lt;="&amp;DATE($A$7,I$8,1),'Udgifter (Forecast)'!$C:$C,"&gt;="&amp;DATE($A$7,I$8,1))</f>
        <v>0</v>
      </c>
      <c r="J27" s="33">
        <f>SUMIFS('Udgifter (Forecast)'!$M:$M,'Udgifter (Forecast)'!$A:$A,$A27,'Udgifter (Forecast)'!$B:$B,"&lt;="&amp;DATE($A$7,J$8,1),'Udgifter (Forecast)'!$C:$C,"&gt;="&amp;DATE($A$7,J$8,1))</f>
        <v>0</v>
      </c>
      <c r="K27" s="33">
        <f>SUMIFS('Udgifter (Forecast)'!$M:$M,'Udgifter (Forecast)'!$A:$A,$A27,'Udgifter (Forecast)'!$B:$B,"&lt;="&amp;DATE($A$7,K$8,1),'Udgifter (Forecast)'!$C:$C,"&gt;="&amp;DATE($A$7,K$8,1))</f>
        <v>0</v>
      </c>
      <c r="L27" s="33">
        <f>SUMIFS('Udgifter (Forecast)'!$M:$M,'Udgifter (Forecast)'!$A:$A,$A27,'Udgifter (Forecast)'!$B:$B,"&lt;="&amp;DATE($A$7,L$8,1),'Udgifter (Forecast)'!$C:$C,"&gt;="&amp;DATE($A$7,L$8,1))</f>
        <v>0</v>
      </c>
      <c r="M27" s="34">
        <f>SUMIFS('Udgifter (Forecast)'!$M:$M,'Udgifter (Forecast)'!$A:$A,$A27,'Udgifter (Forecast)'!$B:$B,"&lt;="&amp;DATE($A$7,M$8,1),'Udgifter (Forecast)'!$C:$C,"&gt;="&amp;DATE($A$7,M$8,1))</f>
        <v>0</v>
      </c>
      <c r="N27" s="35">
        <f t="shared" si="1"/>
        <v>0</v>
      </c>
      <c r="O27" s="13"/>
      <c r="P27" s="13"/>
      <c r="Q27" s="13"/>
      <c r="R27" s="13"/>
      <c r="S27" s="13"/>
      <c r="T27" s="13"/>
      <c r="U27" s="13"/>
      <c r="V27" s="13"/>
      <c r="W27" s="13"/>
      <c r="X27" s="13"/>
      <c r="Y27" s="13"/>
      <c r="Z27" s="13"/>
    </row>
    <row r="28" spans="1:26">
      <c r="A28" s="30" t="s">
        <v>106</v>
      </c>
      <c r="B28" s="30">
        <f>SUMIFS('Udgifter (Forecast)'!$M:$M,'Udgifter (Forecast)'!$A:$A,$A28,'Udgifter (Forecast)'!$B:$B,"&lt;="&amp;DATE($A$7,B$8,1),'Udgifter (Forecast)'!$C:$C,"&gt;="&amp;DATE($A$7,B$8,1))</f>
        <v>0</v>
      </c>
      <c r="C28" s="30">
        <f>SUMIFS('Udgifter (Forecast)'!$M:$M,'Udgifter (Forecast)'!$A:$A,$A28,'Udgifter (Forecast)'!$B:$B,"&lt;="&amp;DATE($A$7,C$8,1),'Udgifter (Forecast)'!$C:$C,"&gt;="&amp;DATE($A$7,C$8,1))</f>
        <v>0</v>
      </c>
      <c r="D28" s="30">
        <f>SUMIFS('Udgifter (Forecast)'!$M:$M,'Udgifter (Forecast)'!$A:$A,$A28,'Udgifter (Forecast)'!$B:$B,"&lt;="&amp;DATE($A$7,D$8,1),'Udgifter (Forecast)'!$C:$C,"&gt;="&amp;DATE($A$7,D$8,1))</f>
        <v>0</v>
      </c>
      <c r="E28" s="30">
        <f>SUMIFS('Udgifter (Forecast)'!$M:$M,'Udgifter (Forecast)'!$A:$A,$A28,'Udgifter (Forecast)'!$B:$B,"&lt;="&amp;DATE($A$7,E$8,1),'Udgifter (Forecast)'!$C:$C,"&gt;="&amp;DATE($A$7,E$8,1))</f>
        <v>0</v>
      </c>
      <c r="F28" s="30">
        <f>SUMIFS('Udgifter (Forecast)'!$M:$M,'Udgifter (Forecast)'!$A:$A,$A28,'Udgifter (Forecast)'!$B:$B,"&lt;="&amp;DATE($A$7,F$8,1),'Udgifter (Forecast)'!$C:$C,"&gt;="&amp;DATE($A$7,F$8,1))</f>
        <v>0</v>
      </c>
      <c r="G28" s="30">
        <f>SUMIFS('Udgifter (Forecast)'!$M:$M,'Udgifter (Forecast)'!$A:$A,$A28,'Udgifter (Forecast)'!$B:$B,"&lt;="&amp;DATE($A$7,G$8,1),'Udgifter (Forecast)'!$C:$C,"&gt;="&amp;DATE($A$7,G$8,1))</f>
        <v>0</v>
      </c>
      <c r="H28" s="30">
        <f>SUMIFS('Udgifter (Forecast)'!$M:$M,'Udgifter (Forecast)'!$A:$A,$A28,'Udgifter (Forecast)'!$B:$B,"&lt;="&amp;DATE($A$7,H$8,1),'Udgifter (Forecast)'!$C:$C,"&gt;="&amp;DATE($A$7,H$8,1))</f>
        <v>0</v>
      </c>
      <c r="I28" s="30">
        <f>SUMIFS('Udgifter (Forecast)'!$M:$M,'Udgifter (Forecast)'!$A:$A,$A28,'Udgifter (Forecast)'!$B:$B,"&lt;="&amp;DATE($A$7,I$8,1),'Udgifter (Forecast)'!$C:$C,"&gt;="&amp;DATE($A$7,I$8,1))</f>
        <v>0</v>
      </c>
      <c r="J28" s="30">
        <f>SUMIFS('Udgifter (Forecast)'!$M:$M,'Udgifter (Forecast)'!$A:$A,$A28,'Udgifter (Forecast)'!$B:$B,"&lt;="&amp;DATE($A$7,J$8,1),'Udgifter (Forecast)'!$C:$C,"&gt;="&amp;DATE($A$7,J$8,1))</f>
        <v>0</v>
      </c>
      <c r="K28" s="30">
        <f>SUMIFS('Udgifter (Forecast)'!$M:$M,'Udgifter (Forecast)'!$A:$A,$A28,'Udgifter (Forecast)'!$B:$B,"&lt;="&amp;DATE($A$7,K$8,1),'Udgifter (Forecast)'!$C:$C,"&gt;="&amp;DATE($A$7,K$8,1))</f>
        <v>0</v>
      </c>
      <c r="L28" s="30">
        <f>SUMIFS('Udgifter (Forecast)'!$M:$M,'Udgifter (Forecast)'!$A:$A,$A28,'Udgifter (Forecast)'!$B:$B,"&lt;="&amp;DATE($A$7,L$8,1),'Udgifter (Forecast)'!$C:$C,"&gt;="&amp;DATE($A$7,L$8,1))</f>
        <v>0</v>
      </c>
      <c r="M28" s="31">
        <f>SUMIFS('Udgifter (Forecast)'!$M:$M,'Udgifter (Forecast)'!$A:$A,$A28,'Udgifter (Forecast)'!$B:$B,"&lt;="&amp;DATE($A$7,M$8,1),'Udgifter (Forecast)'!$C:$C,"&gt;="&amp;DATE($A$7,M$8,1))</f>
        <v>0</v>
      </c>
      <c r="N28" s="32">
        <f t="shared" si="1"/>
        <v>0</v>
      </c>
      <c r="O28" s="13"/>
      <c r="P28" s="13"/>
      <c r="Q28" s="13"/>
      <c r="R28" s="13"/>
      <c r="S28" s="13"/>
      <c r="T28" s="13"/>
      <c r="U28" s="13"/>
      <c r="V28" s="13"/>
      <c r="W28" s="13"/>
      <c r="X28" s="13"/>
      <c r="Y28" s="13"/>
      <c r="Z28" s="13"/>
    </row>
    <row r="29" spans="1:26">
      <c r="A29" s="30" t="s">
        <v>107</v>
      </c>
      <c r="B29" s="30">
        <f>SUMIFS('Udgifter (Forecast)'!$M:$M,'Udgifter (Forecast)'!$A:$A,$A29,'Udgifter (Forecast)'!$B:$B,"&lt;="&amp;DATE($A$7,B$8,1),'Udgifter (Forecast)'!$C:$C,"&gt;="&amp;DATE($A$7,B$8,1))</f>
        <v>0</v>
      </c>
      <c r="C29" s="30">
        <f>SUMIFS('Udgifter (Forecast)'!$M:$M,'Udgifter (Forecast)'!$A:$A,$A29,'Udgifter (Forecast)'!$B:$B,"&lt;="&amp;DATE($A$7,C$8,1),'Udgifter (Forecast)'!$C:$C,"&gt;="&amp;DATE($A$7,C$8,1))</f>
        <v>0</v>
      </c>
      <c r="D29" s="30">
        <f>SUMIFS('Udgifter (Forecast)'!$M:$M,'Udgifter (Forecast)'!$A:$A,$A29,'Udgifter (Forecast)'!$B:$B,"&lt;="&amp;DATE($A$7,D$8,1),'Udgifter (Forecast)'!$C:$C,"&gt;="&amp;DATE($A$7,D$8,1))</f>
        <v>0</v>
      </c>
      <c r="E29" s="30">
        <f>SUMIFS('Udgifter (Forecast)'!$M:$M,'Udgifter (Forecast)'!$A:$A,$A29,'Udgifter (Forecast)'!$B:$B,"&lt;="&amp;DATE($A$7,E$8,1),'Udgifter (Forecast)'!$C:$C,"&gt;="&amp;DATE($A$7,E$8,1))</f>
        <v>0</v>
      </c>
      <c r="F29" s="30">
        <f>SUMIFS('Udgifter (Forecast)'!$M:$M,'Udgifter (Forecast)'!$A:$A,$A29,'Udgifter (Forecast)'!$B:$B,"&lt;="&amp;DATE($A$7,F$8,1),'Udgifter (Forecast)'!$C:$C,"&gt;="&amp;DATE($A$7,F$8,1))</f>
        <v>0</v>
      </c>
      <c r="G29" s="30">
        <f>SUMIFS('Udgifter (Forecast)'!$M:$M,'Udgifter (Forecast)'!$A:$A,$A29,'Udgifter (Forecast)'!$B:$B,"&lt;="&amp;DATE($A$7,G$8,1),'Udgifter (Forecast)'!$C:$C,"&gt;="&amp;DATE($A$7,G$8,1))</f>
        <v>0</v>
      </c>
      <c r="H29" s="30">
        <f>SUMIFS('Udgifter (Forecast)'!$M:$M,'Udgifter (Forecast)'!$A:$A,$A29,'Udgifter (Forecast)'!$B:$B,"&lt;="&amp;DATE($A$7,H$8,1),'Udgifter (Forecast)'!$C:$C,"&gt;="&amp;DATE($A$7,H$8,1))</f>
        <v>0</v>
      </c>
      <c r="I29" s="30">
        <f>SUMIFS('Udgifter (Forecast)'!$M:$M,'Udgifter (Forecast)'!$A:$A,$A29,'Udgifter (Forecast)'!$B:$B,"&lt;="&amp;DATE($A$7,I$8,1),'Udgifter (Forecast)'!$C:$C,"&gt;="&amp;DATE($A$7,I$8,1))</f>
        <v>0</v>
      </c>
      <c r="J29" s="30">
        <f>SUMIFS('Udgifter (Forecast)'!$M:$M,'Udgifter (Forecast)'!$A:$A,$A29,'Udgifter (Forecast)'!$B:$B,"&lt;="&amp;DATE($A$7,J$8,1),'Udgifter (Forecast)'!$C:$C,"&gt;="&amp;DATE($A$7,J$8,1))</f>
        <v>0</v>
      </c>
      <c r="K29" s="30">
        <f>SUMIFS('Udgifter (Forecast)'!$M:$M,'Udgifter (Forecast)'!$A:$A,$A29,'Udgifter (Forecast)'!$B:$B,"&lt;="&amp;DATE($A$7,K$8,1),'Udgifter (Forecast)'!$C:$C,"&gt;="&amp;DATE($A$7,K$8,1))</f>
        <v>0</v>
      </c>
      <c r="L29" s="30">
        <f>SUMIFS('Udgifter (Forecast)'!$M:$M,'Udgifter (Forecast)'!$A:$A,$A29,'Udgifter (Forecast)'!$B:$B,"&lt;="&amp;DATE($A$7,L$8,1),'Udgifter (Forecast)'!$C:$C,"&gt;="&amp;DATE($A$7,L$8,1))</f>
        <v>0</v>
      </c>
      <c r="M29" s="31">
        <f>SUMIFS('Udgifter (Forecast)'!$M:$M,'Udgifter (Forecast)'!$A:$A,$A29,'Udgifter (Forecast)'!$B:$B,"&lt;="&amp;DATE($A$7,M$8,1),'Udgifter (Forecast)'!$C:$C,"&gt;="&amp;DATE($A$7,M$8,1))</f>
        <v>0</v>
      </c>
      <c r="N29" s="32">
        <f t="shared" si="1"/>
        <v>0</v>
      </c>
      <c r="O29" s="13"/>
      <c r="P29" s="13"/>
      <c r="Q29" s="13"/>
      <c r="R29" s="13"/>
      <c r="S29" s="13"/>
      <c r="T29" s="13"/>
      <c r="U29" s="13"/>
      <c r="V29" s="13"/>
      <c r="W29" s="13"/>
      <c r="X29" s="13"/>
      <c r="Y29" s="13"/>
      <c r="Z29" s="13"/>
    </row>
    <row r="30" spans="1:26">
      <c r="A30" s="33" t="s">
        <v>108</v>
      </c>
      <c r="B30" s="33">
        <f>SUMIFS('Udgifter (Forecast)'!$M:$M,'Udgifter (Forecast)'!$A:$A,$A30,'Udgifter (Forecast)'!$B:$B,"&lt;="&amp;DATE($A$7,B$8,1),'Udgifter (Forecast)'!$C:$C,"&gt;="&amp;DATE($A$7,B$8,1))</f>
        <v>0</v>
      </c>
      <c r="C30" s="33">
        <f>SUMIFS('Udgifter (Forecast)'!$M:$M,'Udgifter (Forecast)'!$A:$A,$A30,'Udgifter (Forecast)'!$B:$B,"&lt;="&amp;DATE($A$7,C$8,1),'Udgifter (Forecast)'!$C:$C,"&gt;="&amp;DATE($A$7,C$8,1))</f>
        <v>0</v>
      </c>
      <c r="D30" s="33">
        <f>SUMIFS('Udgifter (Forecast)'!$M:$M,'Udgifter (Forecast)'!$A:$A,$A30,'Udgifter (Forecast)'!$B:$B,"&lt;="&amp;DATE($A$7,D$8,1),'Udgifter (Forecast)'!$C:$C,"&gt;="&amp;DATE($A$7,D$8,1))</f>
        <v>0</v>
      </c>
      <c r="E30" s="33">
        <f>SUMIFS('Udgifter (Forecast)'!$M:$M,'Udgifter (Forecast)'!$A:$A,$A30,'Udgifter (Forecast)'!$B:$B,"&lt;="&amp;DATE($A$7,E$8,1),'Udgifter (Forecast)'!$C:$C,"&gt;="&amp;DATE($A$7,E$8,1))</f>
        <v>0</v>
      </c>
      <c r="F30" s="33">
        <f>SUMIFS('Udgifter (Forecast)'!$M:$M,'Udgifter (Forecast)'!$A:$A,$A30,'Udgifter (Forecast)'!$B:$B,"&lt;="&amp;DATE($A$7,F$8,1),'Udgifter (Forecast)'!$C:$C,"&gt;="&amp;DATE($A$7,F$8,1))</f>
        <v>0</v>
      </c>
      <c r="G30" s="33">
        <f>SUMIFS('Udgifter (Forecast)'!$M:$M,'Udgifter (Forecast)'!$A:$A,$A30,'Udgifter (Forecast)'!$B:$B,"&lt;="&amp;DATE($A$7,G$8,1),'Udgifter (Forecast)'!$C:$C,"&gt;="&amp;DATE($A$7,G$8,1))</f>
        <v>0</v>
      </c>
      <c r="H30" s="33">
        <f>SUMIFS('Udgifter (Forecast)'!$M:$M,'Udgifter (Forecast)'!$A:$A,$A30,'Udgifter (Forecast)'!$B:$B,"&lt;="&amp;DATE($A$7,H$8,1),'Udgifter (Forecast)'!$C:$C,"&gt;="&amp;DATE($A$7,H$8,1))</f>
        <v>0</v>
      </c>
      <c r="I30" s="33">
        <f>SUMIFS('Udgifter (Forecast)'!$M:$M,'Udgifter (Forecast)'!$A:$A,$A30,'Udgifter (Forecast)'!$B:$B,"&lt;="&amp;DATE($A$7,I$8,1),'Udgifter (Forecast)'!$C:$C,"&gt;="&amp;DATE($A$7,I$8,1))</f>
        <v>0</v>
      </c>
      <c r="J30" s="33">
        <f>SUMIFS('Udgifter (Forecast)'!$M:$M,'Udgifter (Forecast)'!$A:$A,$A30,'Udgifter (Forecast)'!$B:$B,"&lt;="&amp;DATE($A$7,J$8,1),'Udgifter (Forecast)'!$C:$C,"&gt;="&amp;DATE($A$7,J$8,1))</f>
        <v>0</v>
      </c>
      <c r="K30" s="33">
        <f>SUMIFS('Udgifter (Forecast)'!$M:$M,'Udgifter (Forecast)'!$A:$A,$A30,'Udgifter (Forecast)'!$B:$B,"&lt;="&amp;DATE($A$7,K$8,1),'Udgifter (Forecast)'!$C:$C,"&gt;="&amp;DATE($A$7,K$8,1))</f>
        <v>0</v>
      </c>
      <c r="L30" s="33">
        <f>SUMIFS('Udgifter (Forecast)'!$M:$M,'Udgifter (Forecast)'!$A:$A,$A30,'Udgifter (Forecast)'!$B:$B,"&lt;="&amp;DATE($A$7,L$8,1),'Udgifter (Forecast)'!$C:$C,"&gt;="&amp;DATE($A$7,L$8,1))</f>
        <v>0</v>
      </c>
      <c r="M30" s="34">
        <f>SUMIFS('Udgifter (Forecast)'!$M:$M,'Udgifter (Forecast)'!$A:$A,$A30,'Udgifter (Forecast)'!$B:$B,"&lt;="&amp;DATE($A$7,M$8,1),'Udgifter (Forecast)'!$C:$C,"&gt;="&amp;DATE($A$7,M$8,1))</f>
        <v>0</v>
      </c>
      <c r="N30" s="35">
        <f t="shared" si="1"/>
        <v>0</v>
      </c>
      <c r="O30" s="13"/>
      <c r="P30" s="13"/>
      <c r="Q30" s="13"/>
      <c r="R30" s="13"/>
      <c r="S30" s="13"/>
      <c r="T30" s="13"/>
      <c r="U30" s="13"/>
      <c r="V30" s="13"/>
      <c r="W30" s="13"/>
      <c r="X30" s="13"/>
      <c r="Y30" s="13"/>
      <c r="Z30" s="13"/>
    </row>
    <row r="31" spans="1:26">
      <c r="A31" s="30" t="s">
        <v>109</v>
      </c>
      <c r="B31" s="30">
        <f>SUMIFS('Udgifter (Forecast)'!$M:$M,'Udgifter (Forecast)'!$A:$A,$A31,'Udgifter (Forecast)'!$B:$B,"&lt;="&amp;DATE($A$7,B$8,1),'Udgifter (Forecast)'!$C:$C,"&gt;="&amp;DATE($A$7,B$8,1))</f>
        <v>0</v>
      </c>
      <c r="C31" s="30">
        <f>SUMIFS('Udgifter (Forecast)'!$M:$M,'Udgifter (Forecast)'!$A:$A,$A31,'Udgifter (Forecast)'!$B:$B,"&lt;="&amp;DATE($A$7,C$8,1),'Udgifter (Forecast)'!$C:$C,"&gt;="&amp;DATE($A$7,C$8,1))</f>
        <v>0</v>
      </c>
      <c r="D31" s="30">
        <f>SUMIFS('Udgifter (Forecast)'!$M:$M,'Udgifter (Forecast)'!$A:$A,$A31,'Udgifter (Forecast)'!$B:$B,"&lt;="&amp;DATE($A$7,D$8,1),'Udgifter (Forecast)'!$C:$C,"&gt;="&amp;DATE($A$7,D$8,1))</f>
        <v>0</v>
      </c>
      <c r="E31" s="30">
        <f>SUMIFS('Udgifter (Forecast)'!$M:$M,'Udgifter (Forecast)'!$A:$A,$A31,'Udgifter (Forecast)'!$B:$B,"&lt;="&amp;DATE($A$7,E$8,1),'Udgifter (Forecast)'!$C:$C,"&gt;="&amp;DATE($A$7,E$8,1))</f>
        <v>0</v>
      </c>
      <c r="F31" s="30">
        <f>SUMIFS('Udgifter (Forecast)'!$M:$M,'Udgifter (Forecast)'!$A:$A,$A31,'Udgifter (Forecast)'!$B:$B,"&lt;="&amp;DATE($A$7,F$8,1),'Udgifter (Forecast)'!$C:$C,"&gt;="&amp;DATE($A$7,F$8,1))</f>
        <v>0</v>
      </c>
      <c r="G31" s="30">
        <f>SUMIFS('Udgifter (Forecast)'!$M:$M,'Udgifter (Forecast)'!$A:$A,$A31,'Udgifter (Forecast)'!$B:$B,"&lt;="&amp;DATE($A$7,G$8,1),'Udgifter (Forecast)'!$C:$C,"&gt;="&amp;DATE($A$7,G$8,1))</f>
        <v>0</v>
      </c>
      <c r="H31" s="30">
        <f>SUMIFS('Udgifter (Forecast)'!$M:$M,'Udgifter (Forecast)'!$A:$A,$A31,'Udgifter (Forecast)'!$B:$B,"&lt;="&amp;DATE($A$7,H$8,1),'Udgifter (Forecast)'!$C:$C,"&gt;="&amp;DATE($A$7,H$8,1))</f>
        <v>0</v>
      </c>
      <c r="I31" s="30">
        <f>SUMIFS('Udgifter (Forecast)'!$M:$M,'Udgifter (Forecast)'!$A:$A,$A31,'Udgifter (Forecast)'!$B:$B,"&lt;="&amp;DATE($A$7,I$8,1),'Udgifter (Forecast)'!$C:$C,"&gt;="&amp;DATE($A$7,I$8,1))</f>
        <v>0</v>
      </c>
      <c r="J31" s="30">
        <f>SUMIFS('Udgifter (Forecast)'!$M:$M,'Udgifter (Forecast)'!$A:$A,$A31,'Udgifter (Forecast)'!$B:$B,"&lt;="&amp;DATE($A$7,J$8,1),'Udgifter (Forecast)'!$C:$C,"&gt;="&amp;DATE($A$7,J$8,1))</f>
        <v>0</v>
      </c>
      <c r="K31" s="30">
        <f>SUMIFS('Udgifter (Forecast)'!$M:$M,'Udgifter (Forecast)'!$A:$A,$A31,'Udgifter (Forecast)'!$B:$B,"&lt;="&amp;DATE($A$7,K$8,1),'Udgifter (Forecast)'!$C:$C,"&gt;="&amp;DATE($A$7,K$8,1))</f>
        <v>0</v>
      </c>
      <c r="L31" s="30">
        <f>SUMIFS('Udgifter (Forecast)'!$M:$M,'Udgifter (Forecast)'!$A:$A,$A31,'Udgifter (Forecast)'!$B:$B,"&lt;="&amp;DATE($A$7,L$8,1),'Udgifter (Forecast)'!$C:$C,"&gt;="&amp;DATE($A$7,L$8,1))</f>
        <v>0</v>
      </c>
      <c r="M31" s="31">
        <f>SUMIFS('Udgifter (Forecast)'!$M:$M,'Udgifter (Forecast)'!$A:$A,$A31,'Udgifter (Forecast)'!$B:$B,"&lt;="&amp;DATE($A$7,M$8,1),'Udgifter (Forecast)'!$C:$C,"&gt;="&amp;DATE($A$7,M$8,1))</f>
        <v>0</v>
      </c>
      <c r="N31" s="32">
        <f t="shared" si="1"/>
        <v>0</v>
      </c>
      <c r="O31" s="13"/>
      <c r="P31" s="13"/>
      <c r="Q31" s="13"/>
      <c r="R31" s="13"/>
      <c r="S31" s="13"/>
      <c r="T31" s="13"/>
      <c r="U31" s="13"/>
      <c r="V31" s="13"/>
      <c r="W31" s="13"/>
      <c r="X31" s="13"/>
      <c r="Y31" s="13"/>
      <c r="Z31" s="13"/>
    </row>
    <row r="32" spans="1:26">
      <c r="A32" s="33" t="s">
        <v>111</v>
      </c>
      <c r="B32" s="33">
        <f>SUMIFS('Udgifter (Forecast)'!$M:$M,'Udgifter (Forecast)'!$A:$A,$A32,'Udgifter (Forecast)'!$B:$B,"&lt;="&amp;DATE($A$7,B$8,1),'Udgifter (Forecast)'!$C:$C,"&gt;="&amp;DATE($A$7,B$8,1))</f>
        <v>0</v>
      </c>
      <c r="C32" s="33">
        <f>SUMIFS('Udgifter (Forecast)'!$M:$M,'Udgifter (Forecast)'!$A:$A,$A32,'Udgifter (Forecast)'!$B:$B,"&lt;="&amp;DATE($A$7,C$8,1),'Udgifter (Forecast)'!$C:$C,"&gt;="&amp;DATE($A$7,C$8,1))</f>
        <v>0</v>
      </c>
      <c r="D32" s="33">
        <f>SUMIFS('Udgifter (Forecast)'!$M:$M,'Udgifter (Forecast)'!$A:$A,$A32,'Udgifter (Forecast)'!$B:$B,"&lt;="&amp;DATE($A$7,D$8,1),'Udgifter (Forecast)'!$C:$C,"&gt;="&amp;DATE($A$7,D$8,1))</f>
        <v>0</v>
      </c>
      <c r="E32" s="33">
        <f>SUMIFS('Udgifter (Forecast)'!$M:$M,'Udgifter (Forecast)'!$A:$A,$A32,'Udgifter (Forecast)'!$B:$B,"&lt;="&amp;DATE($A$7,E$8,1),'Udgifter (Forecast)'!$C:$C,"&gt;="&amp;DATE($A$7,E$8,1))</f>
        <v>0</v>
      </c>
      <c r="F32" s="33">
        <f>SUMIFS('Udgifter (Forecast)'!$M:$M,'Udgifter (Forecast)'!$A:$A,$A32,'Udgifter (Forecast)'!$B:$B,"&lt;="&amp;DATE($A$7,F$8,1),'Udgifter (Forecast)'!$C:$C,"&gt;="&amp;DATE($A$7,F$8,1))</f>
        <v>0</v>
      </c>
      <c r="G32" s="33">
        <f>SUMIFS('Udgifter (Forecast)'!$M:$M,'Udgifter (Forecast)'!$A:$A,$A32,'Udgifter (Forecast)'!$B:$B,"&lt;="&amp;DATE($A$7,G$8,1),'Udgifter (Forecast)'!$C:$C,"&gt;="&amp;DATE($A$7,G$8,1))</f>
        <v>0</v>
      </c>
      <c r="H32" s="33">
        <f>SUMIFS('Udgifter (Forecast)'!$M:$M,'Udgifter (Forecast)'!$A:$A,$A32,'Udgifter (Forecast)'!$B:$B,"&lt;="&amp;DATE($A$7,H$8,1),'Udgifter (Forecast)'!$C:$C,"&gt;="&amp;DATE($A$7,H$8,1))</f>
        <v>0</v>
      </c>
      <c r="I32" s="33">
        <f>SUMIFS('Udgifter (Forecast)'!$M:$M,'Udgifter (Forecast)'!$A:$A,$A32,'Udgifter (Forecast)'!$B:$B,"&lt;="&amp;DATE($A$7,I$8,1),'Udgifter (Forecast)'!$C:$C,"&gt;="&amp;DATE($A$7,I$8,1))</f>
        <v>0</v>
      </c>
      <c r="J32" s="33">
        <f>SUMIFS('Udgifter (Forecast)'!$M:$M,'Udgifter (Forecast)'!$A:$A,$A32,'Udgifter (Forecast)'!$B:$B,"&lt;="&amp;DATE($A$7,J$8,1),'Udgifter (Forecast)'!$C:$C,"&gt;="&amp;DATE($A$7,J$8,1))</f>
        <v>0</v>
      </c>
      <c r="K32" s="33">
        <f>SUMIFS('Udgifter (Forecast)'!$M:$M,'Udgifter (Forecast)'!$A:$A,$A32,'Udgifter (Forecast)'!$B:$B,"&lt;="&amp;DATE($A$7,K$8,1),'Udgifter (Forecast)'!$C:$C,"&gt;="&amp;DATE($A$7,K$8,1))</f>
        <v>0</v>
      </c>
      <c r="L32" s="33">
        <f>SUMIFS('Udgifter (Forecast)'!$M:$M,'Udgifter (Forecast)'!$A:$A,$A32,'Udgifter (Forecast)'!$B:$B,"&lt;="&amp;DATE($A$7,L$8,1),'Udgifter (Forecast)'!$C:$C,"&gt;="&amp;DATE($A$7,L$8,1))</f>
        <v>0</v>
      </c>
      <c r="M32" s="34">
        <f>SUMIFS('Udgifter (Forecast)'!$M:$M,'Udgifter (Forecast)'!$A:$A,$A32,'Udgifter (Forecast)'!$B:$B,"&lt;="&amp;DATE($A$7,M$8,1),'Udgifter (Forecast)'!$C:$C,"&gt;="&amp;DATE($A$7,M$8,1))</f>
        <v>0</v>
      </c>
      <c r="N32" s="35">
        <f t="shared" si="1"/>
        <v>0</v>
      </c>
      <c r="O32" s="13"/>
      <c r="P32" s="13"/>
      <c r="Q32" s="13"/>
      <c r="R32" s="13"/>
      <c r="S32" s="13"/>
      <c r="T32" s="13"/>
      <c r="U32" s="13"/>
      <c r="V32" s="13"/>
      <c r="W32" s="13"/>
      <c r="X32" s="13"/>
      <c r="Y32" s="13"/>
      <c r="Z32" s="13"/>
    </row>
    <row r="33" spans="1:26">
      <c r="A33" s="30"/>
      <c r="B33" s="30"/>
      <c r="C33" s="30"/>
      <c r="D33" s="30"/>
      <c r="E33" s="30"/>
      <c r="F33" s="30"/>
      <c r="G33" s="30"/>
      <c r="H33" s="30"/>
      <c r="I33" s="30"/>
      <c r="J33" s="30"/>
      <c r="K33" s="30"/>
      <c r="L33" s="30"/>
      <c r="M33" s="31"/>
      <c r="N33" s="32"/>
      <c r="O33" s="13"/>
      <c r="P33" s="13"/>
      <c r="Q33" s="13"/>
      <c r="R33" s="13"/>
      <c r="S33" s="13"/>
      <c r="T33" s="13"/>
      <c r="U33" s="13"/>
      <c r="V33" s="13"/>
      <c r="W33" s="13"/>
      <c r="X33" s="13"/>
      <c r="Y33" s="13"/>
      <c r="Z33" s="13"/>
    </row>
    <row r="34" spans="1:26">
      <c r="A34" s="33"/>
      <c r="B34" s="33"/>
      <c r="C34" s="33"/>
      <c r="D34" s="33"/>
      <c r="E34" s="33"/>
      <c r="F34" s="33"/>
      <c r="G34" s="33"/>
      <c r="H34" s="33"/>
      <c r="I34" s="33"/>
      <c r="J34" s="33"/>
      <c r="K34" s="33"/>
      <c r="L34" s="33"/>
      <c r="M34" s="34"/>
      <c r="N34" s="35"/>
      <c r="O34" s="13"/>
      <c r="P34" s="13"/>
      <c r="Q34" s="13"/>
      <c r="R34" s="13"/>
      <c r="S34" s="13"/>
      <c r="T34" s="13"/>
      <c r="U34" s="13"/>
      <c r="V34" s="13"/>
      <c r="W34" s="13"/>
      <c r="X34" s="13"/>
      <c r="Y34" s="13"/>
      <c r="Z34" s="13"/>
    </row>
    <row r="35" ht="15.75" spans="1:26">
      <c r="A35" s="36" t="s">
        <v>178</v>
      </c>
      <c r="B35" s="36">
        <f t="shared" ref="B35:M35" si="2">SUM(B18:B34)</f>
        <v>640</v>
      </c>
      <c r="C35" s="36">
        <f t="shared" si="2"/>
        <v>640</v>
      </c>
      <c r="D35" s="36">
        <f t="shared" si="2"/>
        <v>640</v>
      </c>
      <c r="E35" s="36">
        <f t="shared" si="2"/>
        <v>640</v>
      </c>
      <c r="F35" s="36">
        <f t="shared" si="2"/>
        <v>9440</v>
      </c>
      <c r="G35" s="36">
        <f t="shared" si="2"/>
        <v>10920</v>
      </c>
      <c r="H35" s="36">
        <f t="shared" si="2"/>
        <v>2120</v>
      </c>
      <c r="I35" s="36">
        <f t="shared" si="2"/>
        <v>2120</v>
      </c>
      <c r="J35" s="36">
        <f t="shared" si="2"/>
        <v>2120</v>
      </c>
      <c r="K35" s="36">
        <f t="shared" si="2"/>
        <v>3080</v>
      </c>
      <c r="L35" s="36">
        <f t="shared" si="2"/>
        <v>960</v>
      </c>
      <c r="M35" s="37">
        <f t="shared" si="2"/>
        <v>960</v>
      </c>
      <c r="N35" s="40">
        <f>SUM(B35:M35)</f>
        <v>34280</v>
      </c>
      <c r="O35" s="13"/>
      <c r="P35" s="13"/>
      <c r="Q35" s="13"/>
      <c r="R35" s="13"/>
      <c r="S35" s="13"/>
      <c r="T35" s="13"/>
      <c r="U35" s="13"/>
      <c r="V35" s="13"/>
      <c r="W35" s="13"/>
      <c r="X35" s="13"/>
      <c r="Y35" s="13"/>
      <c r="Z35" s="13"/>
    </row>
    <row r="36" ht="15.75" spans="1:26">
      <c r="A36" s="36" t="s">
        <v>179</v>
      </c>
      <c r="B36" s="36">
        <f t="shared" ref="B36:M36" si="3">B15-B35</f>
        <v>-640</v>
      </c>
      <c r="C36" s="36">
        <f t="shared" si="3"/>
        <v>-640</v>
      </c>
      <c r="D36" s="36">
        <f t="shared" si="3"/>
        <v>-640</v>
      </c>
      <c r="E36" s="36">
        <f t="shared" si="3"/>
        <v>-640</v>
      </c>
      <c r="F36" s="36">
        <f t="shared" si="3"/>
        <v>10560</v>
      </c>
      <c r="G36" s="41">
        <f t="shared" si="3"/>
        <v>-10920</v>
      </c>
      <c r="H36" s="41">
        <f t="shared" si="3"/>
        <v>-2120</v>
      </c>
      <c r="I36" s="41">
        <f t="shared" si="3"/>
        <v>-2120</v>
      </c>
      <c r="J36" s="41">
        <f t="shared" si="3"/>
        <v>-2120</v>
      </c>
      <c r="K36" s="41">
        <f t="shared" si="3"/>
        <v>-3080</v>
      </c>
      <c r="L36" s="41">
        <f t="shared" si="3"/>
        <v>4567.39726027397</v>
      </c>
      <c r="M36" s="42">
        <f t="shared" si="3"/>
        <v>1567.39726027397</v>
      </c>
      <c r="N36" s="40">
        <f>SUM(B36:M36)</f>
        <v>-6225.20547945206</v>
      </c>
      <c r="O36" s="13"/>
      <c r="P36" s="13"/>
      <c r="Q36" s="13"/>
      <c r="R36" s="13"/>
      <c r="S36" s="13"/>
      <c r="T36" s="13"/>
      <c r="U36" s="13"/>
      <c r="V36" s="13"/>
      <c r="W36" s="13"/>
      <c r="X36" s="13"/>
      <c r="Y36" s="13"/>
      <c r="Z36" s="13"/>
    </row>
    <row r="37" ht="12.75" customHeight="1" spans="1:26">
      <c r="A37" s="23"/>
      <c r="B37" s="23"/>
      <c r="C37" s="23"/>
      <c r="D37" s="23"/>
      <c r="E37" s="23"/>
      <c r="F37" s="23"/>
      <c r="G37" s="23"/>
      <c r="H37" s="23"/>
      <c r="I37" s="23"/>
      <c r="J37" s="23"/>
      <c r="K37" s="23"/>
      <c r="L37" s="23"/>
      <c r="M37" s="24"/>
      <c r="N37" s="25"/>
      <c r="O37" s="13"/>
      <c r="P37" s="13"/>
      <c r="Q37" s="13"/>
      <c r="R37" s="13"/>
      <c r="S37" s="13"/>
      <c r="T37" s="13"/>
      <c r="U37" s="13"/>
      <c r="V37" s="13"/>
      <c r="W37" s="13"/>
      <c r="X37" s="13"/>
      <c r="Y37" s="13"/>
      <c r="Z37" s="13"/>
    </row>
    <row r="38" ht="15.75" spans="1:26">
      <c r="A38" s="39" t="s">
        <v>180</v>
      </c>
      <c r="B38" s="27"/>
      <c r="C38" s="27"/>
      <c r="D38" s="27"/>
      <c r="E38" s="27"/>
      <c r="F38" s="27"/>
      <c r="G38" s="27"/>
      <c r="H38" s="27"/>
      <c r="I38" s="27"/>
      <c r="J38" s="27"/>
      <c r="K38" s="27"/>
      <c r="L38" s="27"/>
      <c r="M38" s="28"/>
      <c r="N38" s="29"/>
      <c r="O38" s="13"/>
      <c r="P38" s="13"/>
      <c r="Q38" s="13"/>
      <c r="R38" s="13"/>
      <c r="S38" s="13"/>
      <c r="T38" s="13"/>
      <c r="U38" s="13"/>
      <c r="V38" s="13"/>
      <c r="W38" s="13"/>
      <c r="X38" s="13"/>
      <c r="Y38" s="13"/>
      <c r="Z38" s="13"/>
    </row>
    <row r="39" spans="1:26">
      <c r="A39" s="30" t="s">
        <v>85</v>
      </c>
      <c r="B39" s="30">
        <f>SUMIFS('Udgifter (Forecast)'!$M:$M,'Udgifter (Forecast)'!$A:$A,$A39,'Udgifter (Forecast)'!$B:$B,"&lt;="&amp;DATE($A$7,B$8,1),'Udgifter (Forecast)'!$C:$C,"&gt;="&amp;DATE($A$7,B$8,1))</f>
        <v>96</v>
      </c>
      <c r="C39" s="30">
        <f>SUMIFS('Udgifter (Forecast)'!$M:$M,'Udgifter (Forecast)'!$A:$A,$A39,'Udgifter (Forecast)'!$B:$B,"&lt;="&amp;DATE($A$7,C$8,1),'Udgifter (Forecast)'!$C:$C,"&gt;="&amp;DATE($A$7,C$8,1))</f>
        <v>96</v>
      </c>
      <c r="D39" s="30">
        <f>SUMIFS('Udgifter (Forecast)'!$M:$M,'Udgifter (Forecast)'!$A:$A,$A39,'Udgifter (Forecast)'!$B:$B,"&lt;="&amp;DATE($A$7,D$8,1),'Udgifter (Forecast)'!$C:$C,"&gt;="&amp;DATE($A$7,D$8,1))</f>
        <v>96</v>
      </c>
      <c r="E39" s="30">
        <f>SUMIFS('Udgifter (Forecast)'!$M:$M,'Udgifter (Forecast)'!$A:$A,$A39,'Udgifter (Forecast)'!$B:$B,"&lt;="&amp;DATE($A$7,E$8,1),'Udgifter (Forecast)'!$C:$C,"&gt;="&amp;DATE($A$7,E$8,1))</f>
        <v>96</v>
      </c>
      <c r="F39" s="30">
        <f>SUMIFS('Udgifter (Forecast)'!$M:$M,'Udgifter (Forecast)'!$A:$A,$A39,'Udgifter (Forecast)'!$B:$B,"&lt;="&amp;DATE($A$7,F$8,1),'Udgifter (Forecast)'!$C:$C,"&gt;="&amp;DATE($A$7,F$8,1))</f>
        <v>96</v>
      </c>
      <c r="G39" s="30">
        <f>SUMIFS('Udgifter (Forecast)'!$M:$M,'Udgifter (Forecast)'!$A:$A,$A39,'Udgifter (Forecast)'!$B:$B,"&lt;="&amp;DATE($A$7,G$8,1),'Udgifter (Forecast)'!$C:$C,"&gt;="&amp;DATE($A$7,G$8,1))</f>
        <v>96</v>
      </c>
      <c r="H39" s="30">
        <f>SUMIFS('Udgifter (Forecast)'!$M:$M,'Udgifter (Forecast)'!$A:$A,$A39,'Udgifter (Forecast)'!$B:$B,"&lt;="&amp;DATE($A$7,H$8,1),'Udgifter (Forecast)'!$C:$C,"&gt;="&amp;DATE($A$7,H$8,1))</f>
        <v>96</v>
      </c>
      <c r="I39" s="30">
        <f>SUMIFS('Udgifter (Forecast)'!$M:$M,'Udgifter (Forecast)'!$A:$A,$A39,'Udgifter (Forecast)'!$B:$B,"&lt;="&amp;DATE($A$7,I$8,1),'Udgifter (Forecast)'!$C:$C,"&gt;="&amp;DATE($A$7,I$8,1))</f>
        <v>96</v>
      </c>
      <c r="J39" s="30">
        <f>SUMIFS('Udgifter (Forecast)'!$M:$M,'Udgifter (Forecast)'!$A:$A,$A39,'Udgifter (Forecast)'!$B:$B,"&lt;="&amp;DATE($A$7,J$8,1),'Udgifter (Forecast)'!$C:$C,"&gt;="&amp;DATE($A$7,J$8,1))</f>
        <v>96</v>
      </c>
      <c r="K39" s="30">
        <f>SUMIFS('Udgifter (Forecast)'!$M:$M,'Udgifter (Forecast)'!$A:$A,$A39,'Udgifter (Forecast)'!$B:$B,"&lt;="&amp;DATE($A$7,K$8,1),'Udgifter (Forecast)'!$C:$C,"&gt;="&amp;DATE($A$7,K$8,1))</f>
        <v>96</v>
      </c>
      <c r="L39" s="30">
        <f>SUMIFS('Udgifter (Forecast)'!$M:$M,'Udgifter (Forecast)'!$A:$A,$A39,'Udgifter (Forecast)'!$B:$B,"&lt;="&amp;DATE($A$7,L$8,1),'Udgifter (Forecast)'!$C:$C,"&gt;="&amp;DATE($A$7,L$8,1))</f>
        <v>96</v>
      </c>
      <c r="M39" s="31">
        <f>SUMIFS('Udgifter (Forecast)'!$M:$M,'Udgifter (Forecast)'!$A:$A,$A39,'Udgifter (Forecast)'!$B:$B,"&lt;="&amp;DATE($A$7,M$8,1),'Udgifter (Forecast)'!$C:$C,"&gt;="&amp;DATE($A$7,M$8,1))</f>
        <v>96</v>
      </c>
      <c r="N39" s="32">
        <f t="shared" ref="N39:N45" si="4">SUM(B39:M39)</f>
        <v>1152</v>
      </c>
      <c r="O39" s="13"/>
      <c r="P39" s="13"/>
      <c r="Q39" s="13"/>
      <c r="R39" s="13"/>
      <c r="S39" s="13"/>
      <c r="T39" s="13"/>
      <c r="U39" s="13"/>
      <c r="V39" s="13"/>
      <c r="W39" s="13"/>
      <c r="X39" s="13"/>
      <c r="Y39" s="13"/>
      <c r="Z39" s="13"/>
    </row>
    <row r="40" spans="1:26">
      <c r="A40" s="33" t="s">
        <v>88</v>
      </c>
      <c r="B40" s="33">
        <f>SUMIFS('Udgifter (Forecast)'!$M:$M,'Udgifter (Forecast)'!$A:$A,$A40,'Udgifter (Forecast)'!$B:$B,"&lt;="&amp;DATE($A$7,B$8,1),'Udgifter (Forecast)'!$C:$C,"&gt;="&amp;DATE($A$7,B$8,1))</f>
        <v>192</v>
      </c>
      <c r="C40" s="33">
        <f>SUMIFS('Udgifter (Forecast)'!$M:$M,'Udgifter (Forecast)'!$A:$A,$A40,'Udgifter (Forecast)'!$B:$B,"&lt;="&amp;DATE($A$7,C$8,1),'Udgifter (Forecast)'!$C:$C,"&gt;="&amp;DATE($A$7,C$8,1))</f>
        <v>192</v>
      </c>
      <c r="D40" s="33">
        <f>SUMIFS('Udgifter (Forecast)'!$M:$M,'Udgifter (Forecast)'!$A:$A,$A40,'Udgifter (Forecast)'!$B:$B,"&lt;="&amp;DATE($A$7,D$8,1),'Udgifter (Forecast)'!$C:$C,"&gt;="&amp;DATE($A$7,D$8,1))</f>
        <v>192</v>
      </c>
      <c r="E40" s="33">
        <f>SUMIFS('Udgifter (Forecast)'!$M:$M,'Udgifter (Forecast)'!$A:$A,$A40,'Udgifter (Forecast)'!$B:$B,"&lt;="&amp;DATE($A$7,E$8,1),'Udgifter (Forecast)'!$C:$C,"&gt;="&amp;DATE($A$7,E$8,1))</f>
        <v>192</v>
      </c>
      <c r="F40" s="33">
        <f>SUMIFS('Udgifter (Forecast)'!$M:$M,'Udgifter (Forecast)'!$A:$A,$A40,'Udgifter (Forecast)'!$B:$B,"&lt;="&amp;DATE($A$7,F$8,1),'Udgifter (Forecast)'!$C:$C,"&gt;="&amp;DATE($A$7,F$8,1))</f>
        <v>192</v>
      </c>
      <c r="G40" s="33">
        <f>SUMIFS('Udgifter (Forecast)'!$M:$M,'Udgifter (Forecast)'!$A:$A,$A40,'Udgifter (Forecast)'!$B:$B,"&lt;="&amp;DATE($A$7,G$8,1),'Udgifter (Forecast)'!$C:$C,"&gt;="&amp;DATE($A$7,G$8,1))</f>
        <v>192</v>
      </c>
      <c r="H40" s="33">
        <f>SUMIFS('Udgifter (Forecast)'!$M:$M,'Udgifter (Forecast)'!$A:$A,$A40,'Udgifter (Forecast)'!$B:$B,"&lt;="&amp;DATE($A$7,H$8,1),'Udgifter (Forecast)'!$C:$C,"&gt;="&amp;DATE($A$7,H$8,1))</f>
        <v>192</v>
      </c>
      <c r="I40" s="33">
        <f>SUMIFS('Udgifter (Forecast)'!$M:$M,'Udgifter (Forecast)'!$A:$A,$A40,'Udgifter (Forecast)'!$B:$B,"&lt;="&amp;DATE($A$7,I$8,1),'Udgifter (Forecast)'!$C:$C,"&gt;="&amp;DATE($A$7,I$8,1))</f>
        <v>192</v>
      </c>
      <c r="J40" s="33">
        <f>SUMIFS('Udgifter (Forecast)'!$M:$M,'Udgifter (Forecast)'!$A:$A,$A40,'Udgifter (Forecast)'!$B:$B,"&lt;="&amp;DATE($A$7,J$8,1),'Udgifter (Forecast)'!$C:$C,"&gt;="&amp;DATE($A$7,J$8,1))</f>
        <v>192</v>
      </c>
      <c r="K40" s="33">
        <f>SUMIFS('Udgifter (Forecast)'!$M:$M,'Udgifter (Forecast)'!$A:$A,$A40,'Udgifter (Forecast)'!$B:$B,"&lt;="&amp;DATE($A$7,K$8,1),'Udgifter (Forecast)'!$C:$C,"&gt;="&amp;DATE($A$7,K$8,1))</f>
        <v>192</v>
      </c>
      <c r="L40" s="33">
        <f>SUMIFS('Udgifter (Forecast)'!$M:$M,'Udgifter (Forecast)'!$A:$A,$A40,'Udgifter (Forecast)'!$B:$B,"&lt;="&amp;DATE($A$7,L$8,1),'Udgifter (Forecast)'!$C:$C,"&gt;="&amp;DATE($A$7,L$8,1))</f>
        <v>192</v>
      </c>
      <c r="M40" s="34">
        <f>SUMIFS('Udgifter (Forecast)'!$M:$M,'Udgifter (Forecast)'!$A:$A,$A40,'Udgifter (Forecast)'!$B:$B,"&lt;="&amp;DATE($A$7,M$8,1),'Udgifter (Forecast)'!$C:$C,"&gt;="&amp;DATE($A$7,M$8,1))</f>
        <v>192</v>
      </c>
      <c r="N40" s="35">
        <f t="shared" si="4"/>
        <v>2304</v>
      </c>
      <c r="O40" s="13"/>
      <c r="P40" s="13"/>
      <c r="Q40" s="13"/>
      <c r="R40" s="13"/>
      <c r="S40" s="13"/>
      <c r="T40" s="13"/>
      <c r="U40" s="13"/>
      <c r="V40" s="13"/>
      <c r="W40" s="13"/>
      <c r="X40" s="13"/>
      <c r="Y40" s="13"/>
      <c r="Z40" s="13"/>
    </row>
    <row r="41" spans="1:26">
      <c r="A41" s="30" t="s">
        <v>89</v>
      </c>
      <c r="B41" s="30">
        <f>SUMIFS('Udgifter (Forecast)'!$M:$M,'Udgifter (Forecast)'!$A:$A,$A41,'Udgifter (Forecast)'!$B:$B,"&lt;="&amp;DATE($A$7,B$8,1),'Udgifter (Forecast)'!$C:$C,"&gt;="&amp;DATE($A$7,B$8,1))</f>
        <v>0</v>
      </c>
      <c r="C41" s="30">
        <f>SUMIFS('Udgifter (Forecast)'!$M:$M,'Udgifter (Forecast)'!$A:$A,$A41,'Udgifter (Forecast)'!$B:$B,"&lt;="&amp;DATE($A$7,C$8,1),'Udgifter (Forecast)'!$C:$C,"&gt;="&amp;DATE($A$7,C$8,1))</f>
        <v>0</v>
      </c>
      <c r="D41" s="30">
        <f>SUMIFS('Udgifter (Forecast)'!$M:$M,'Udgifter (Forecast)'!$A:$A,$A41,'Udgifter (Forecast)'!$B:$B,"&lt;="&amp;DATE($A$7,D$8,1),'Udgifter (Forecast)'!$C:$C,"&gt;="&amp;DATE($A$7,D$8,1))</f>
        <v>0</v>
      </c>
      <c r="E41" s="30">
        <f>SUMIFS('Udgifter (Forecast)'!$M:$M,'Udgifter (Forecast)'!$A:$A,$A41,'Udgifter (Forecast)'!$B:$B,"&lt;="&amp;DATE($A$7,E$8,1),'Udgifter (Forecast)'!$C:$C,"&gt;="&amp;DATE($A$7,E$8,1))</f>
        <v>0</v>
      </c>
      <c r="F41" s="30">
        <f>SUMIFS('Udgifter (Forecast)'!$M:$M,'Udgifter (Forecast)'!$A:$A,$A41,'Udgifter (Forecast)'!$B:$B,"&lt;="&amp;DATE($A$7,F$8,1),'Udgifter (Forecast)'!$C:$C,"&gt;="&amp;DATE($A$7,F$8,1))</f>
        <v>0</v>
      </c>
      <c r="G41" s="30">
        <f>SUMIFS('Udgifter (Forecast)'!$M:$M,'Udgifter (Forecast)'!$A:$A,$A41,'Udgifter (Forecast)'!$B:$B,"&lt;="&amp;DATE($A$7,G$8,1),'Udgifter (Forecast)'!$C:$C,"&gt;="&amp;DATE($A$7,G$8,1))</f>
        <v>800</v>
      </c>
      <c r="H41" s="30">
        <f>SUMIFS('Udgifter (Forecast)'!$M:$M,'Udgifter (Forecast)'!$A:$A,$A41,'Udgifter (Forecast)'!$B:$B,"&lt;="&amp;DATE($A$7,H$8,1),'Udgifter (Forecast)'!$C:$C,"&gt;="&amp;DATE($A$7,H$8,1))</f>
        <v>800</v>
      </c>
      <c r="I41" s="30">
        <f>SUMIFS('Udgifter (Forecast)'!$M:$M,'Udgifter (Forecast)'!$A:$A,$A41,'Udgifter (Forecast)'!$B:$B,"&lt;="&amp;DATE($A$7,I$8,1),'Udgifter (Forecast)'!$C:$C,"&gt;="&amp;DATE($A$7,I$8,1))</f>
        <v>800</v>
      </c>
      <c r="J41" s="30">
        <f>SUMIFS('Udgifter (Forecast)'!$M:$M,'Udgifter (Forecast)'!$A:$A,$A41,'Udgifter (Forecast)'!$B:$B,"&lt;="&amp;DATE($A$7,J$8,1),'Udgifter (Forecast)'!$C:$C,"&gt;="&amp;DATE($A$7,J$8,1))</f>
        <v>0</v>
      </c>
      <c r="K41" s="30">
        <f>SUMIFS('Udgifter (Forecast)'!$M:$M,'Udgifter (Forecast)'!$A:$A,$A41,'Udgifter (Forecast)'!$B:$B,"&lt;="&amp;DATE($A$7,K$8,1),'Udgifter (Forecast)'!$C:$C,"&gt;="&amp;DATE($A$7,K$8,1))</f>
        <v>0</v>
      </c>
      <c r="L41" s="30">
        <f>SUMIFS('Udgifter (Forecast)'!$M:$M,'Udgifter (Forecast)'!$A:$A,$A41,'Udgifter (Forecast)'!$B:$B,"&lt;="&amp;DATE($A$7,L$8,1),'Udgifter (Forecast)'!$C:$C,"&gt;="&amp;DATE($A$7,L$8,1))</f>
        <v>0</v>
      </c>
      <c r="M41" s="31">
        <f>SUMIFS('Udgifter (Forecast)'!$M:$M,'Udgifter (Forecast)'!$A:$A,$A41,'Udgifter (Forecast)'!$B:$B,"&lt;="&amp;DATE($A$7,M$8,1),'Udgifter (Forecast)'!$C:$C,"&gt;="&amp;DATE($A$7,M$8,1))</f>
        <v>0</v>
      </c>
      <c r="N41" s="32">
        <f t="shared" si="4"/>
        <v>2400</v>
      </c>
      <c r="O41" s="13"/>
      <c r="P41" s="13"/>
      <c r="Q41" s="13"/>
      <c r="R41" s="13"/>
      <c r="S41" s="13"/>
      <c r="T41" s="13"/>
      <c r="U41" s="13"/>
      <c r="V41" s="13"/>
      <c r="W41" s="13"/>
      <c r="X41" s="13"/>
      <c r="Y41" s="13"/>
      <c r="Z41" s="13"/>
    </row>
    <row r="42" spans="1:26">
      <c r="A42" s="33" t="s">
        <v>90</v>
      </c>
      <c r="B42" s="33">
        <f>SUMIFS('Udgifter (Forecast)'!$M:$M,'Udgifter (Forecast)'!$A:$A,$A42,'Udgifter (Forecast)'!$B:$B,"&lt;="&amp;DATE($A$7,B$8,1),'Udgifter (Forecast)'!$C:$C,"&gt;="&amp;DATE($A$7,B$8,1))</f>
        <v>1200</v>
      </c>
      <c r="C42" s="33">
        <f>SUMIFS('Udgifter (Forecast)'!$M:$M,'Udgifter (Forecast)'!$A:$A,$A42,'Udgifter (Forecast)'!$B:$B,"&lt;="&amp;DATE($A$7,C$8,1),'Udgifter (Forecast)'!$C:$C,"&gt;="&amp;DATE($A$7,C$8,1))</f>
        <v>1200</v>
      </c>
      <c r="D42" s="33">
        <f>SUMIFS('Udgifter (Forecast)'!$M:$M,'Udgifter (Forecast)'!$A:$A,$A42,'Udgifter (Forecast)'!$B:$B,"&lt;="&amp;DATE($A$7,D$8,1),'Udgifter (Forecast)'!$C:$C,"&gt;="&amp;DATE($A$7,D$8,1))</f>
        <v>1200</v>
      </c>
      <c r="E42" s="33">
        <f>SUMIFS('Udgifter (Forecast)'!$M:$M,'Udgifter (Forecast)'!$A:$A,$A42,'Udgifter (Forecast)'!$B:$B,"&lt;="&amp;DATE($A$7,E$8,1),'Udgifter (Forecast)'!$C:$C,"&gt;="&amp;DATE($A$7,E$8,1))</f>
        <v>1200</v>
      </c>
      <c r="F42" s="33">
        <f>SUMIFS('Udgifter (Forecast)'!$M:$M,'Udgifter (Forecast)'!$A:$A,$A42,'Udgifter (Forecast)'!$B:$B,"&lt;="&amp;DATE($A$7,F$8,1),'Udgifter (Forecast)'!$C:$C,"&gt;="&amp;DATE($A$7,F$8,1))</f>
        <v>1200</v>
      </c>
      <c r="G42" s="33">
        <f>SUMIFS('Udgifter (Forecast)'!$M:$M,'Udgifter (Forecast)'!$A:$A,$A42,'Udgifter (Forecast)'!$B:$B,"&lt;="&amp;DATE($A$7,G$8,1),'Udgifter (Forecast)'!$C:$C,"&gt;="&amp;DATE($A$7,G$8,1))</f>
        <v>1200</v>
      </c>
      <c r="H42" s="33">
        <f>SUMIFS('Udgifter (Forecast)'!$M:$M,'Udgifter (Forecast)'!$A:$A,$A42,'Udgifter (Forecast)'!$B:$B,"&lt;="&amp;DATE($A$7,H$8,1),'Udgifter (Forecast)'!$C:$C,"&gt;="&amp;DATE($A$7,H$8,1))</f>
        <v>1200</v>
      </c>
      <c r="I42" s="33">
        <f>SUMIFS('Udgifter (Forecast)'!$M:$M,'Udgifter (Forecast)'!$A:$A,$A42,'Udgifter (Forecast)'!$B:$B,"&lt;="&amp;DATE($A$7,I$8,1),'Udgifter (Forecast)'!$C:$C,"&gt;="&amp;DATE($A$7,I$8,1))</f>
        <v>1200</v>
      </c>
      <c r="J42" s="33">
        <f>SUMIFS('Udgifter (Forecast)'!$M:$M,'Udgifter (Forecast)'!$A:$A,$A42,'Udgifter (Forecast)'!$B:$B,"&lt;="&amp;DATE($A$7,J$8,1),'Udgifter (Forecast)'!$C:$C,"&gt;="&amp;DATE($A$7,J$8,1))</f>
        <v>1200</v>
      </c>
      <c r="K42" s="33">
        <f>SUMIFS('Udgifter (Forecast)'!$M:$M,'Udgifter (Forecast)'!$A:$A,$A42,'Udgifter (Forecast)'!$B:$B,"&lt;="&amp;DATE($A$7,K$8,1),'Udgifter (Forecast)'!$C:$C,"&gt;="&amp;DATE($A$7,K$8,1))</f>
        <v>1200</v>
      </c>
      <c r="L42" s="33">
        <f>SUMIFS('Udgifter (Forecast)'!$M:$M,'Udgifter (Forecast)'!$A:$A,$A42,'Udgifter (Forecast)'!$B:$B,"&lt;="&amp;DATE($A$7,L$8,1),'Udgifter (Forecast)'!$C:$C,"&gt;="&amp;DATE($A$7,L$8,1))</f>
        <v>1200</v>
      </c>
      <c r="M42" s="34">
        <f>SUMIFS('Udgifter (Forecast)'!$M:$M,'Udgifter (Forecast)'!$A:$A,$A42,'Udgifter (Forecast)'!$B:$B,"&lt;="&amp;DATE($A$7,M$8,1),'Udgifter (Forecast)'!$C:$C,"&gt;="&amp;DATE($A$7,M$8,1))</f>
        <v>1200</v>
      </c>
      <c r="N42" s="35">
        <f t="shared" si="4"/>
        <v>14400</v>
      </c>
      <c r="O42" s="13"/>
      <c r="P42" s="13"/>
      <c r="Q42" s="13"/>
      <c r="R42" s="13"/>
      <c r="S42" s="13"/>
      <c r="T42" s="13"/>
      <c r="U42" s="13"/>
      <c r="V42" s="13"/>
      <c r="W42" s="13"/>
      <c r="X42" s="13"/>
      <c r="Y42" s="13"/>
      <c r="Z42" s="13"/>
    </row>
    <row r="43" spans="1:26">
      <c r="A43" s="30" t="s">
        <v>92</v>
      </c>
      <c r="B43" s="30">
        <f>SUMIFS('Udgifter (Forecast)'!$M:$M,'Udgifter (Forecast)'!$A:$A,$A43,'Udgifter (Forecast)'!$B:$B,"&lt;="&amp;DATE($A$7,B$8,1),'Udgifter (Forecast)'!$C:$C,"&gt;="&amp;DATE($A$7,B$8,1))</f>
        <v>958</v>
      </c>
      <c r="C43" s="30">
        <f>SUMIFS('Udgifter (Forecast)'!$M:$M,'Udgifter (Forecast)'!$A:$A,$A43,'Udgifter (Forecast)'!$B:$B,"&lt;="&amp;DATE($A$7,C$8,1),'Udgifter (Forecast)'!$C:$C,"&gt;="&amp;DATE($A$7,C$8,1))</f>
        <v>958</v>
      </c>
      <c r="D43" s="30">
        <f>SUMIFS('Udgifter (Forecast)'!$M:$M,'Udgifter (Forecast)'!$A:$A,$A43,'Udgifter (Forecast)'!$B:$B,"&lt;="&amp;DATE($A$7,D$8,1),'Udgifter (Forecast)'!$C:$C,"&gt;="&amp;DATE($A$7,D$8,1))</f>
        <v>958</v>
      </c>
      <c r="E43" s="30">
        <f>SUMIFS('Udgifter (Forecast)'!$M:$M,'Udgifter (Forecast)'!$A:$A,$A43,'Udgifter (Forecast)'!$B:$B,"&lt;="&amp;DATE($A$7,E$8,1),'Udgifter (Forecast)'!$C:$C,"&gt;="&amp;DATE($A$7,E$8,1))</f>
        <v>958</v>
      </c>
      <c r="F43" s="30">
        <f>SUMIFS('Udgifter (Forecast)'!$M:$M,'Udgifter (Forecast)'!$A:$A,$A43,'Udgifter (Forecast)'!$B:$B,"&lt;="&amp;DATE($A$7,F$8,1),'Udgifter (Forecast)'!$C:$C,"&gt;="&amp;DATE($A$7,F$8,1))</f>
        <v>958</v>
      </c>
      <c r="G43" s="30">
        <f>SUMIFS('Udgifter (Forecast)'!$M:$M,'Udgifter (Forecast)'!$A:$A,$A43,'Udgifter (Forecast)'!$B:$B,"&lt;="&amp;DATE($A$7,G$8,1),'Udgifter (Forecast)'!$C:$C,"&gt;="&amp;DATE($A$7,G$8,1))</f>
        <v>958</v>
      </c>
      <c r="H43" s="30">
        <f>SUMIFS('Udgifter (Forecast)'!$M:$M,'Udgifter (Forecast)'!$A:$A,$A43,'Udgifter (Forecast)'!$B:$B,"&lt;="&amp;DATE($A$7,H$8,1),'Udgifter (Forecast)'!$C:$C,"&gt;="&amp;DATE($A$7,H$8,1))</f>
        <v>958</v>
      </c>
      <c r="I43" s="30">
        <f>SUMIFS('Udgifter (Forecast)'!$M:$M,'Udgifter (Forecast)'!$A:$A,$A43,'Udgifter (Forecast)'!$B:$B,"&lt;="&amp;DATE($A$7,I$8,1),'Udgifter (Forecast)'!$C:$C,"&gt;="&amp;DATE($A$7,I$8,1))</f>
        <v>958</v>
      </c>
      <c r="J43" s="30">
        <f>SUMIFS('Udgifter (Forecast)'!$M:$M,'Udgifter (Forecast)'!$A:$A,$A43,'Udgifter (Forecast)'!$B:$B,"&lt;="&amp;DATE($A$7,J$8,1),'Udgifter (Forecast)'!$C:$C,"&gt;="&amp;DATE($A$7,J$8,1))</f>
        <v>958</v>
      </c>
      <c r="K43" s="30">
        <f>SUMIFS('Udgifter (Forecast)'!$M:$M,'Udgifter (Forecast)'!$A:$A,$A43,'Udgifter (Forecast)'!$B:$B,"&lt;="&amp;DATE($A$7,K$8,1),'Udgifter (Forecast)'!$C:$C,"&gt;="&amp;DATE($A$7,K$8,1))</f>
        <v>958</v>
      </c>
      <c r="L43" s="30">
        <f>SUMIFS('Udgifter (Forecast)'!$M:$M,'Udgifter (Forecast)'!$A:$A,$A43,'Udgifter (Forecast)'!$B:$B,"&lt;="&amp;DATE($A$7,L$8,1),'Udgifter (Forecast)'!$C:$C,"&gt;="&amp;DATE($A$7,L$8,1))</f>
        <v>958</v>
      </c>
      <c r="M43" s="31">
        <f>SUMIFS('Udgifter (Forecast)'!$M:$M,'Udgifter (Forecast)'!$A:$A,$A43,'Udgifter (Forecast)'!$B:$B,"&lt;="&amp;DATE($A$7,M$8,1),'Udgifter (Forecast)'!$C:$C,"&gt;="&amp;DATE($A$7,M$8,1))</f>
        <v>958</v>
      </c>
      <c r="N43" s="32">
        <f t="shared" si="4"/>
        <v>11496</v>
      </c>
      <c r="O43" s="13"/>
      <c r="P43" s="13"/>
      <c r="Q43" s="13"/>
      <c r="R43" s="13"/>
      <c r="S43" s="13"/>
      <c r="T43" s="13"/>
      <c r="U43" s="13"/>
      <c r="V43" s="13"/>
      <c r="W43" s="13"/>
      <c r="X43" s="13"/>
      <c r="Y43" s="13"/>
      <c r="Z43" s="13"/>
    </row>
    <row r="44" spans="1:26">
      <c r="A44" s="33" t="s">
        <v>93</v>
      </c>
      <c r="B44" s="33">
        <f>SUMIFS('Udgifter (Forecast)'!$M:$M,'Udgifter (Forecast)'!$A:$A,$A44,'Udgifter (Forecast)'!$B:$B,"&lt;="&amp;DATE($A$7,B$8,1),'Udgifter (Forecast)'!$C:$C,"&gt;="&amp;DATE($A$7,B$8,1))</f>
        <v>3200</v>
      </c>
      <c r="C44" s="33">
        <f>SUMIFS('Udgifter (Forecast)'!$M:$M,'Udgifter (Forecast)'!$A:$A,$A44,'Udgifter (Forecast)'!$B:$B,"&lt;="&amp;DATE($A$7,C$8,1),'Udgifter (Forecast)'!$C:$C,"&gt;="&amp;DATE($A$7,C$8,1))</f>
        <v>3200</v>
      </c>
      <c r="D44" s="33">
        <f>SUMIFS('Udgifter (Forecast)'!$M:$M,'Udgifter (Forecast)'!$A:$A,$A44,'Udgifter (Forecast)'!$B:$B,"&lt;="&amp;DATE($A$7,D$8,1),'Udgifter (Forecast)'!$C:$C,"&gt;="&amp;DATE($A$7,D$8,1))</f>
        <v>3200</v>
      </c>
      <c r="E44" s="33">
        <f>SUMIFS('Udgifter (Forecast)'!$M:$M,'Udgifter (Forecast)'!$A:$A,$A44,'Udgifter (Forecast)'!$B:$B,"&lt;="&amp;DATE($A$7,E$8,1),'Udgifter (Forecast)'!$C:$C,"&gt;="&amp;DATE($A$7,E$8,1))</f>
        <v>3200</v>
      </c>
      <c r="F44" s="33">
        <f>SUMIFS('Udgifter (Forecast)'!$M:$M,'Udgifter (Forecast)'!$A:$A,$A44,'Udgifter (Forecast)'!$B:$B,"&lt;="&amp;DATE($A$7,F$8,1),'Udgifter (Forecast)'!$C:$C,"&gt;="&amp;DATE($A$7,F$8,1))</f>
        <v>3200</v>
      </c>
      <c r="G44" s="33">
        <f>SUMIFS('Udgifter (Forecast)'!$M:$M,'Udgifter (Forecast)'!$A:$A,$A44,'Udgifter (Forecast)'!$B:$B,"&lt;="&amp;DATE($A$7,G$8,1),'Udgifter (Forecast)'!$C:$C,"&gt;="&amp;DATE($A$7,G$8,1))</f>
        <v>3200</v>
      </c>
      <c r="H44" s="33">
        <f>SUMIFS('Udgifter (Forecast)'!$M:$M,'Udgifter (Forecast)'!$A:$A,$A44,'Udgifter (Forecast)'!$B:$B,"&lt;="&amp;DATE($A$7,H$8,1),'Udgifter (Forecast)'!$C:$C,"&gt;="&amp;DATE($A$7,H$8,1))</f>
        <v>3200</v>
      </c>
      <c r="I44" s="33">
        <f>SUMIFS('Udgifter (Forecast)'!$M:$M,'Udgifter (Forecast)'!$A:$A,$A44,'Udgifter (Forecast)'!$B:$B,"&lt;="&amp;DATE($A$7,I$8,1),'Udgifter (Forecast)'!$C:$C,"&gt;="&amp;DATE($A$7,I$8,1))</f>
        <v>3200</v>
      </c>
      <c r="J44" s="33">
        <f>SUMIFS('Udgifter (Forecast)'!$M:$M,'Udgifter (Forecast)'!$A:$A,$A44,'Udgifter (Forecast)'!$B:$B,"&lt;="&amp;DATE($A$7,J$8,1),'Udgifter (Forecast)'!$C:$C,"&gt;="&amp;DATE($A$7,J$8,1))</f>
        <v>3200</v>
      </c>
      <c r="K44" s="33">
        <f>SUMIFS('Udgifter (Forecast)'!$M:$M,'Udgifter (Forecast)'!$A:$A,$A44,'Udgifter (Forecast)'!$B:$B,"&lt;="&amp;DATE($A$7,K$8,1),'Udgifter (Forecast)'!$C:$C,"&gt;="&amp;DATE($A$7,K$8,1))</f>
        <v>3200</v>
      </c>
      <c r="L44" s="33">
        <f>SUMIFS('Udgifter (Forecast)'!$M:$M,'Udgifter (Forecast)'!$A:$A,$A44,'Udgifter (Forecast)'!$B:$B,"&lt;="&amp;DATE($A$7,L$8,1),'Udgifter (Forecast)'!$C:$C,"&gt;="&amp;DATE($A$7,L$8,1))</f>
        <v>3200</v>
      </c>
      <c r="M44" s="34">
        <f>SUMIFS('Udgifter (Forecast)'!$M:$M,'Udgifter (Forecast)'!$A:$A,$A44,'Udgifter (Forecast)'!$B:$B,"&lt;="&amp;DATE($A$7,M$8,1),'Udgifter (Forecast)'!$C:$C,"&gt;="&amp;DATE($A$7,M$8,1))</f>
        <v>3200</v>
      </c>
      <c r="N44" s="35">
        <f t="shared" si="4"/>
        <v>38400</v>
      </c>
      <c r="O44" s="43"/>
      <c r="P44" s="43"/>
      <c r="Q44" s="43"/>
      <c r="R44" s="43"/>
      <c r="S44" s="43"/>
      <c r="T44" s="43"/>
      <c r="U44" s="43"/>
      <c r="V44" s="43"/>
      <c r="W44" s="43"/>
      <c r="X44" s="43"/>
      <c r="Y44" s="43"/>
      <c r="Z44" s="43"/>
    </row>
    <row r="45" spans="1:26">
      <c r="A45" s="30" t="s">
        <v>94</v>
      </c>
      <c r="B45" s="30">
        <f>SUMIFS('Udgifter (Forecast)'!$M:$M,'Udgifter (Forecast)'!$A:$A,$A45,'Udgifter (Forecast)'!$B:$B,"&lt;="&amp;DATE($A$7,B$8,1),'Udgifter (Forecast)'!$C:$C,"&gt;="&amp;DATE($A$7,B$8,1))</f>
        <v>0</v>
      </c>
      <c r="C45" s="30">
        <f>SUMIFS('Udgifter (Forecast)'!$M:$M,'Udgifter (Forecast)'!$A:$A,$A45,'Udgifter (Forecast)'!$B:$B,"&lt;="&amp;DATE($A$7,C$8,1),'Udgifter (Forecast)'!$C:$C,"&gt;="&amp;DATE($A$7,C$8,1))</f>
        <v>0</v>
      </c>
      <c r="D45" s="30">
        <f>SUMIFS('Udgifter (Forecast)'!$M:$M,'Udgifter (Forecast)'!$A:$A,$A45,'Udgifter (Forecast)'!$B:$B,"&lt;="&amp;DATE($A$7,D$8,1),'Udgifter (Forecast)'!$C:$C,"&gt;="&amp;DATE($A$7,D$8,1))</f>
        <v>0</v>
      </c>
      <c r="E45" s="30">
        <f>SUMIFS('Udgifter (Forecast)'!$M:$M,'Udgifter (Forecast)'!$A:$A,$A45,'Udgifter (Forecast)'!$B:$B,"&lt;="&amp;DATE($A$7,E$8,1),'Udgifter (Forecast)'!$C:$C,"&gt;="&amp;DATE($A$7,E$8,1))</f>
        <v>0</v>
      </c>
      <c r="F45" s="30">
        <f>SUMIFS('Udgifter (Forecast)'!$M:$M,'Udgifter (Forecast)'!$A:$A,$A45,'Udgifter (Forecast)'!$B:$B,"&lt;="&amp;DATE($A$7,F$8,1),'Udgifter (Forecast)'!$C:$C,"&gt;="&amp;DATE($A$7,F$8,1))</f>
        <v>0</v>
      </c>
      <c r="G45" s="30">
        <f>SUMIFS('Udgifter (Forecast)'!$M:$M,'Udgifter (Forecast)'!$A:$A,$A45,'Udgifter (Forecast)'!$B:$B,"&lt;="&amp;DATE($A$7,G$8,1),'Udgifter (Forecast)'!$C:$C,"&gt;="&amp;DATE($A$7,G$8,1))</f>
        <v>0</v>
      </c>
      <c r="H45" s="30">
        <f>SUMIFS('Udgifter (Forecast)'!$M:$M,'Udgifter (Forecast)'!$A:$A,$A45,'Udgifter (Forecast)'!$B:$B,"&lt;="&amp;DATE($A$7,H$8,1),'Udgifter (Forecast)'!$C:$C,"&gt;="&amp;DATE($A$7,H$8,1))</f>
        <v>0</v>
      </c>
      <c r="I45" s="30">
        <f>SUMIFS('Udgifter (Forecast)'!$M:$M,'Udgifter (Forecast)'!$A:$A,$A45,'Udgifter (Forecast)'!$B:$B,"&lt;="&amp;DATE($A$7,I$8,1),'Udgifter (Forecast)'!$C:$C,"&gt;="&amp;DATE($A$7,I$8,1))</f>
        <v>0</v>
      </c>
      <c r="J45" s="30">
        <f>SUMIFS('Udgifter (Forecast)'!$M:$M,'Udgifter (Forecast)'!$A:$A,$A45,'Udgifter (Forecast)'!$B:$B,"&lt;="&amp;DATE($A$7,J$8,1),'Udgifter (Forecast)'!$C:$C,"&gt;="&amp;DATE($A$7,J$8,1))</f>
        <v>0</v>
      </c>
      <c r="K45" s="30">
        <f>SUMIFS('Udgifter (Forecast)'!$M:$M,'Udgifter (Forecast)'!$A:$A,$A45,'Udgifter (Forecast)'!$B:$B,"&lt;="&amp;DATE($A$7,K$8,1),'Udgifter (Forecast)'!$C:$C,"&gt;="&amp;DATE($A$7,K$8,1))</f>
        <v>0</v>
      </c>
      <c r="L45" s="30">
        <f>SUMIFS('Udgifter (Forecast)'!$M:$M,'Udgifter (Forecast)'!$A:$A,$A45,'Udgifter (Forecast)'!$B:$B,"&lt;="&amp;DATE($A$7,L$8,1),'Udgifter (Forecast)'!$C:$C,"&gt;="&amp;DATE($A$7,L$8,1))</f>
        <v>0</v>
      </c>
      <c r="M45" s="31">
        <f>SUMIFS('Udgifter (Forecast)'!$M:$M,'Udgifter (Forecast)'!$A:$A,$A45,'Udgifter (Forecast)'!$B:$B,"&lt;="&amp;DATE($A$7,M$8,1),'Udgifter (Forecast)'!$C:$C,"&gt;="&amp;DATE($A$7,M$8,1))</f>
        <v>1200</v>
      </c>
      <c r="N45" s="32">
        <f t="shared" si="4"/>
        <v>1200</v>
      </c>
      <c r="O45" s="13"/>
      <c r="P45" s="13"/>
      <c r="Q45" s="13"/>
      <c r="R45" s="13"/>
      <c r="S45" s="13"/>
      <c r="T45" s="13"/>
      <c r="U45" s="13"/>
      <c r="V45" s="13"/>
      <c r="W45" s="13"/>
      <c r="X45" s="13"/>
      <c r="Y45" s="13"/>
      <c r="Z45" s="13"/>
    </row>
    <row r="46" spans="1:26">
      <c r="A46" s="33"/>
      <c r="B46" s="33">
        <f>SUMIFS('Udgifter (Forecast)'!$M:$M,'Udgifter (Forecast)'!$A:$A,$A46,'Udgifter (Forecast)'!$B:$B,"&lt;="&amp;DATE($A$7,B$8,1),'Udgifter (Forecast)'!$C:$C,"&gt;="&amp;DATE($A$7,B$8,1))</f>
        <v>0</v>
      </c>
      <c r="C46" s="33">
        <f>SUMIFS('Udgifter (Forecast)'!$M:$M,'Udgifter (Forecast)'!$A:$A,$A46,'Udgifter (Forecast)'!$B:$B,"&lt;="&amp;DATE($A$7,C$8,1),'Udgifter (Forecast)'!$C:$C,"&gt;="&amp;DATE($A$7,C$8,1))</f>
        <v>0</v>
      </c>
      <c r="D46" s="33">
        <f>SUMIFS('Udgifter (Forecast)'!$M:$M,'Udgifter (Forecast)'!$A:$A,$A46,'Udgifter (Forecast)'!$B:$B,"&lt;="&amp;DATE($A$7,D$8,1),'Udgifter (Forecast)'!$C:$C,"&gt;="&amp;DATE($A$7,D$8,1))</f>
        <v>0</v>
      </c>
      <c r="E46" s="33">
        <f>SUMIFS('Udgifter (Forecast)'!$M:$M,'Udgifter (Forecast)'!$A:$A,$A46,'Udgifter (Forecast)'!$B:$B,"&lt;="&amp;DATE($A$7,E$8,1),'Udgifter (Forecast)'!$C:$C,"&gt;="&amp;DATE($A$7,E$8,1))</f>
        <v>0</v>
      </c>
      <c r="F46" s="33">
        <f>SUMIFS('Udgifter (Forecast)'!$M:$M,'Udgifter (Forecast)'!$A:$A,$A46,'Udgifter (Forecast)'!$B:$B,"&lt;="&amp;DATE($A$7,F$8,1),'Udgifter (Forecast)'!$C:$C,"&gt;="&amp;DATE($A$7,F$8,1))</f>
        <v>0</v>
      </c>
      <c r="G46" s="33">
        <f>SUMIFS('Udgifter (Forecast)'!$M:$M,'Udgifter (Forecast)'!$A:$A,$A46,'Udgifter (Forecast)'!$B:$B,"&lt;="&amp;DATE($A$7,G$8,1),'Udgifter (Forecast)'!$C:$C,"&gt;="&amp;DATE($A$7,G$8,1))</f>
        <v>0</v>
      </c>
      <c r="H46" s="33">
        <f>SUMIFS('Udgifter (Forecast)'!$M:$M,'Udgifter (Forecast)'!$A:$A,$A46,'Udgifter (Forecast)'!$B:$B,"&lt;="&amp;DATE($A$7,H$8,1),'Udgifter (Forecast)'!$C:$C,"&gt;="&amp;DATE($A$7,H$8,1))</f>
        <v>0</v>
      </c>
      <c r="I46" s="33">
        <f>SUMIFS('Udgifter (Forecast)'!$M:$M,'Udgifter (Forecast)'!$A:$A,$A46,'Udgifter (Forecast)'!$B:$B,"&lt;="&amp;DATE($A$7,I$8,1),'Udgifter (Forecast)'!$C:$C,"&gt;="&amp;DATE($A$7,I$8,1))</f>
        <v>0</v>
      </c>
      <c r="J46" s="33">
        <f>SUMIFS('Udgifter (Forecast)'!$M:$M,'Udgifter (Forecast)'!$A:$A,$A46,'Udgifter (Forecast)'!$B:$B,"&lt;="&amp;DATE($A$7,J$8,1),'Udgifter (Forecast)'!$C:$C,"&gt;="&amp;DATE($A$7,J$8,1))</f>
        <v>0</v>
      </c>
      <c r="K46" s="33">
        <f>SUMIFS('Udgifter (Forecast)'!$M:$M,'Udgifter (Forecast)'!$A:$A,$A46,'Udgifter (Forecast)'!$B:$B,"&lt;="&amp;DATE($A$7,K$8,1),'Udgifter (Forecast)'!$C:$C,"&gt;="&amp;DATE($A$7,K$8,1))</f>
        <v>0</v>
      </c>
      <c r="L46" s="33">
        <f>SUMIFS('Udgifter (Forecast)'!$M:$M,'Udgifter (Forecast)'!$A:$A,$A46,'Udgifter (Forecast)'!$B:$B,"&lt;="&amp;DATE($A$7,L$8,1),'Udgifter (Forecast)'!$C:$C,"&gt;="&amp;DATE($A$7,L$8,1))</f>
        <v>0</v>
      </c>
      <c r="M46" s="34">
        <f>SUMIFS('Udgifter (Forecast)'!$M:$M,'Udgifter (Forecast)'!$A:$A,$A46,'Udgifter (Forecast)'!$B:$B,"&lt;="&amp;DATE($A$7,M$8,1),'Udgifter (Forecast)'!$C:$C,"&gt;="&amp;DATE($A$7,M$8,1))</f>
        <v>0</v>
      </c>
      <c r="N46" s="35"/>
      <c r="O46" s="13"/>
      <c r="P46" s="13"/>
      <c r="Q46" s="13"/>
      <c r="R46" s="13"/>
      <c r="S46" s="13"/>
      <c r="T46" s="13"/>
      <c r="U46" s="13"/>
      <c r="V46" s="13"/>
      <c r="W46" s="13"/>
      <c r="X46" s="13"/>
      <c r="Y46" s="13"/>
      <c r="Z46" s="13"/>
    </row>
    <row r="47" spans="1:26">
      <c r="A47" s="30"/>
      <c r="B47" s="30"/>
      <c r="C47" s="30"/>
      <c r="D47" s="30"/>
      <c r="E47" s="30"/>
      <c r="F47" s="30"/>
      <c r="G47" s="30"/>
      <c r="H47" s="30"/>
      <c r="I47" s="30"/>
      <c r="J47" s="30"/>
      <c r="K47" s="30"/>
      <c r="L47" s="30"/>
      <c r="M47" s="31"/>
      <c r="N47" s="32"/>
      <c r="O47" s="13"/>
      <c r="P47" s="13"/>
      <c r="Q47" s="13"/>
      <c r="R47" s="13"/>
      <c r="S47" s="13"/>
      <c r="T47" s="13"/>
      <c r="U47" s="13"/>
      <c r="V47" s="13"/>
      <c r="W47" s="13"/>
      <c r="X47" s="13"/>
      <c r="Y47" s="13"/>
      <c r="Z47" s="13"/>
    </row>
    <row r="48" ht="15.75" spans="1:26">
      <c r="A48" s="36" t="s">
        <v>181</v>
      </c>
      <c r="B48" s="36">
        <f t="shared" ref="B48:N48" si="5">SUM(B39:B47)</f>
        <v>5646</v>
      </c>
      <c r="C48" s="36">
        <f t="shared" si="5"/>
        <v>5646</v>
      </c>
      <c r="D48" s="36">
        <f t="shared" si="5"/>
        <v>5646</v>
      </c>
      <c r="E48" s="36">
        <f t="shared" si="5"/>
        <v>5646</v>
      </c>
      <c r="F48" s="36">
        <f t="shared" si="5"/>
        <v>5646</v>
      </c>
      <c r="G48" s="36">
        <f t="shared" si="5"/>
        <v>6446</v>
      </c>
      <c r="H48" s="36">
        <f t="shared" si="5"/>
        <v>6446</v>
      </c>
      <c r="I48" s="36">
        <f t="shared" si="5"/>
        <v>6446</v>
      </c>
      <c r="J48" s="36">
        <f t="shared" si="5"/>
        <v>5646</v>
      </c>
      <c r="K48" s="36">
        <f t="shared" si="5"/>
        <v>5646</v>
      </c>
      <c r="L48" s="36">
        <f t="shared" si="5"/>
        <v>5646</v>
      </c>
      <c r="M48" s="37">
        <f t="shared" si="5"/>
        <v>6846</v>
      </c>
      <c r="N48" s="44">
        <f t="shared" si="5"/>
        <v>71352</v>
      </c>
      <c r="O48" s="13"/>
      <c r="P48" s="13"/>
      <c r="Q48" s="13"/>
      <c r="R48" s="13"/>
      <c r="S48" s="13"/>
      <c r="T48" s="13"/>
      <c r="U48" s="13"/>
      <c r="V48" s="13"/>
      <c r="W48" s="13"/>
      <c r="X48" s="13"/>
      <c r="Y48" s="13"/>
      <c r="Z48" s="13"/>
    </row>
    <row r="49" ht="15.75" spans="1:26">
      <c r="A49" s="36" t="s">
        <v>182</v>
      </c>
      <c r="B49" s="36">
        <f t="shared" ref="B49:N49" si="6">B36-B48</f>
        <v>-6286</v>
      </c>
      <c r="C49" s="36">
        <f t="shared" si="6"/>
        <v>-6286</v>
      </c>
      <c r="D49" s="36">
        <f t="shared" si="6"/>
        <v>-6286</v>
      </c>
      <c r="E49" s="36">
        <f t="shared" si="6"/>
        <v>-6286</v>
      </c>
      <c r="F49" s="36">
        <f t="shared" si="6"/>
        <v>4914</v>
      </c>
      <c r="G49" s="36">
        <f t="shared" si="6"/>
        <v>-17366</v>
      </c>
      <c r="H49" s="36">
        <f t="shared" si="6"/>
        <v>-8566</v>
      </c>
      <c r="I49" s="36">
        <f t="shared" si="6"/>
        <v>-8566</v>
      </c>
      <c r="J49" s="36">
        <f t="shared" si="6"/>
        <v>-7766</v>
      </c>
      <c r="K49" s="36">
        <f t="shared" si="6"/>
        <v>-8726</v>
      </c>
      <c r="L49" s="36">
        <f t="shared" si="6"/>
        <v>-1078.60273972603</v>
      </c>
      <c r="M49" s="37">
        <f t="shared" si="6"/>
        <v>-5278.60273972603</v>
      </c>
      <c r="N49" s="44">
        <f t="shared" si="6"/>
        <v>-77577.2054794521</v>
      </c>
      <c r="O49" s="13"/>
      <c r="P49" s="13"/>
      <c r="Q49" s="13"/>
      <c r="R49" s="13"/>
      <c r="S49" s="13"/>
      <c r="T49" s="13"/>
      <c r="U49" s="13"/>
      <c r="V49" s="13"/>
      <c r="W49" s="13"/>
      <c r="X49" s="13"/>
      <c r="Y49" s="13"/>
      <c r="Z49" s="13"/>
    </row>
    <row r="50" ht="12.75" customHeight="1" spans="1:26">
      <c r="A50" s="23"/>
      <c r="B50" s="23"/>
      <c r="C50" s="23"/>
      <c r="D50" s="23"/>
      <c r="E50" s="23"/>
      <c r="F50" s="23"/>
      <c r="G50" s="23"/>
      <c r="H50" s="23"/>
      <c r="I50" s="23"/>
      <c r="J50" s="23"/>
      <c r="K50" s="23"/>
      <c r="L50" s="23"/>
      <c r="M50" s="24"/>
      <c r="N50" s="25"/>
      <c r="O50" s="13"/>
      <c r="P50" s="13"/>
      <c r="Q50" s="13"/>
      <c r="R50" s="13"/>
      <c r="S50" s="13"/>
      <c r="T50" s="13"/>
      <c r="U50" s="13"/>
      <c r="V50" s="13"/>
      <c r="W50" s="13"/>
      <c r="X50" s="13"/>
      <c r="Y50" s="13"/>
      <c r="Z50" s="13"/>
    </row>
    <row r="51" ht="15.75" spans="1:26">
      <c r="A51" s="39" t="s">
        <v>183</v>
      </c>
      <c r="B51" s="27"/>
      <c r="C51" s="27"/>
      <c r="D51" s="27"/>
      <c r="E51" s="27"/>
      <c r="F51" s="27"/>
      <c r="G51" s="27"/>
      <c r="H51" s="27"/>
      <c r="I51" s="27"/>
      <c r="J51" s="27"/>
      <c r="K51" s="27"/>
      <c r="L51" s="27"/>
      <c r="M51" s="28"/>
      <c r="N51" s="29"/>
      <c r="O51" s="13"/>
      <c r="P51" s="13"/>
      <c r="Q51" s="13"/>
      <c r="R51" s="13"/>
      <c r="S51" s="13"/>
      <c r="T51" s="13"/>
      <c r="U51" s="13"/>
      <c r="V51" s="13"/>
      <c r="W51" s="13"/>
      <c r="X51" s="13"/>
      <c r="Y51" s="13"/>
      <c r="Z51" s="13"/>
    </row>
    <row r="52" spans="1:26">
      <c r="A52" s="33" t="s">
        <v>184</v>
      </c>
      <c r="B52" s="45">
        <v>0</v>
      </c>
      <c r="C52" s="45">
        <v>0</v>
      </c>
      <c r="D52" s="45">
        <v>0</v>
      </c>
      <c r="E52" s="45">
        <v>0</v>
      </c>
      <c r="F52" s="45">
        <v>0</v>
      </c>
      <c r="G52" s="45">
        <v>0</v>
      </c>
      <c r="H52" s="45">
        <v>0</v>
      </c>
      <c r="I52" s="45">
        <v>0</v>
      </c>
      <c r="J52" s="45">
        <v>0</v>
      </c>
      <c r="K52" s="45">
        <v>0</v>
      </c>
      <c r="L52" s="45">
        <v>0</v>
      </c>
      <c r="M52" s="46">
        <v>0</v>
      </c>
      <c r="N52" s="47">
        <f>SUM(B52:M52)</f>
        <v>0</v>
      </c>
      <c r="O52" s="13"/>
      <c r="P52" s="13"/>
      <c r="Q52" s="13"/>
      <c r="R52" s="13"/>
      <c r="S52" s="13"/>
      <c r="T52" s="13"/>
      <c r="U52" s="13"/>
      <c r="V52" s="13"/>
      <c r="W52" s="13"/>
      <c r="X52" s="13"/>
      <c r="Y52" s="13"/>
      <c r="Z52" s="13"/>
    </row>
    <row r="53" spans="1:26">
      <c r="A53" s="30" t="s">
        <v>185</v>
      </c>
      <c r="B53" s="45">
        <v>0</v>
      </c>
      <c r="C53" s="45">
        <v>0</v>
      </c>
      <c r="D53" s="45">
        <v>0</v>
      </c>
      <c r="E53" s="45">
        <v>0</v>
      </c>
      <c r="F53" s="45">
        <v>0</v>
      </c>
      <c r="G53" s="45">
        <v>0</v>
      </c>
      <c r="H53" s="45">
        <v>0</v>
      </c>
      <c r="I53" s="45">
        <v>0</v>
      </c>
      <c r="J53" s="45">
        <v>0</v>
      </c>
      <c r="K53" s="45">
        <v>0</v>
      </c>
      <c r="L53" s="45">
        <v>0</v>
      </c>
      <c r="M53" s="46">
        <v>0</v>
      </c>
      <c r="N53" s="48">
        <f>SUM(B53:M53)</f>
        <v>0</v>
      </c>
      <c r="O53" s="49"/>
      <c r="P53" s="49"/>
      <c r="Q53" s="49"/>
      <c r="R53" s="49"/>
      <c r="S53" s="49"/>
      <c r="T53" s="49"/>
      <c r="U53" s="49"/>
      <c r="V53" s="49"/>
      <c r="W53" s="49"/>
      <c r="X53" s="49"/>
      <c r="Y53" s="49"/>
      <c r="Z53" s="49"/>
    </row>
    <row r="54" ht="15.75" spans="1:26">
      <c r="A54" s="36" t="s">
        <v>186</v>
      </c>
      <c r="B54" s="36">
        <f t="shared" ref="B54:N54" si="7">SUM(B52:B53)</f>
        <v>0</v>
      </c>
      <c r="C54" s="36">
        <f t="shared" si="7"/>
        <v>0</v>
      </c>
      <c r="D54" s="36">
        <f t="shared" si="7"/>
        <v>0</v>
      </c>
      <c r="E54" s="36">
        <f t="shared" si="7"/>
        <v>0</v>
      </c>
      <c r="F54" s="36">
        <f t="shared" si="7"/>
        <v>0</v>
      </c>
      <c r="G54" s="36">
        <f t="shared" si="7"/>
        <v>0</v>
      </c>
      <c r="H54" s="36">
        <f t="shared" si="7"/>
        <v>0</v>
      </c>
      <c r="I54" s="36">
        <f t="shared" si="7"/>
        <v>0</v>
      </c>
      <c r="J54" s="36">
        <f t="shared" si="7"/>
        <v>0</v>
      </c>
      <c r="K54" s="36">
        <f t="shared" si="7"/>
        <v>0</v>
      </c>
      <c r="L54" s="36">
        <f t="shared" si="7"/>
        <v>0</v>
      </c>
      <c r="M54" s="37">
        <f t="shared" si="7"/>
        <v>0</v>
      </c>
      <c r="N54" s="44">
        <f t="shared" si="7"/>
        <v>0</v>
      </c>
      <c r="O54" s="13"/>
      <c r="P54" s="13"/>
      <c r="Q54" s="13"/>
      <c r="R54" s="13"/>
      <c r="S54" s="13"/>
      <c r="T54" s="13"/>
      <c r="U54" s="13"/>
      <c r="V54" s="13"/>
      <c r="W54" s="13"/>
      <c r="X54" s="13"/>
      <c r="Y54" s="13"/>
      <c r="Z54" s="13"/>
    </row>
    <row r="55" ht="12.75" customHeight="1" spans="1:26">
      <c r="A55" s="23"/>
      <c r="B55" s="23"/>
      <c r="C55" s="23"/>
      <c r="D55" s="23"/>
      <c r="E55" s="23"/>
      <c r="F55" s="23"/>
      <c r="G55" s="23"/>
      <c r="H55" s="23"/>
      <c r="I55" s="23"/>
      <c r="J55" s="23"/>
      <c r="K55" s="23"/>
      <c r="L55" s="23"/>
      <c r="M55" s="24"/>
      <c r="N55" s="25"/>
      <c r="O55" s="13"/>
      <c r="P55" s="13"/>
      <c r="Q55" s="13"/>
      <c r="R55" s="13"/>
      <c r="S55" s="13"/>
      <c r="T55" s="13"/>
      <c r="U55" s="13"/>
      <c r="V55" s="13"/>
      <c r="W55" s="13"/>
      <c r="X55" s="13"/>
      <c r="Y55" s="13"/>
      <c r="Z55" s="13"/>
    </row>
    <row r="56" ht="15.75" spans="1:26">
      <c r="A56" s="39" t="s">
        <v>187</v>
      </c>
      <c r="B56" s="27"/>
      <c r="C56" s="27"/>
      <c r="D56" s="27"/>
      <c r="E56" s="27"/>
      <c r="F56" s="27"/>
      <c r="G56" s="27"/>
      <c r="H56" s="27"/>
      <c r="I56" s="27"/>
      <c r="J56" s="27"/>
      <c r="K56" s="27"/>
      <c r="L56" s="27"/>
      <c r="M56" s="28"/>
      <c r="N56" s="29"/>
      <c r="O56" s="13"/>
      <c r="P56" s="13"/>
      <c r="Q56" s="13"/>
      <c r="R56" s="13"/>
      <c r="S56" s="13"/>
      <c r="T56" s="13"/>
      <c r="U56" s="13"/>
      <c r="V56" s="13"/>
      <c r="W56" s="13"/>
      <c r="X56" s="13"/>
      <c r="Y56" s="13"/>
      <c r="Z56" s="13"/>
    </row>
    <row r="57" spans="1:26">
      <c r="A57" s="30" t="s">
        <v>114</v>
      </c>
      <c r="B57" s="30">
        <f>SUMIFS(Etablering_2026!$L:$L,Etablering_2026!$A:$A,$A57,Etablering_2026!$B:$B,"&lt;="&amp;DATE($A$7,B$8,1),Etablering_2026!$C:$C,"&gt;="&amp;DATE($A$7,B$8,1))</f>
        <v>0</v>
      </c>
      <c r="C57" s="30">
        <f>SUMIFS(Etablering_2026!$L:$L,Etablering_2026!$A:$A,$A57,Etablering_2026!$B:$B,"&lt;="&amp;DATE($A$7,C$8,1),Etablering_2026!$C:$C,"&gt;="&amp;DATE($A$7,C$8,1))</f>
        <v>0</v>
      </c>
      <c r="D57" s="30">
        <f>SUMIFS(Etablering_2026!$L:$L,Etablering_2026!$A:$A,$A57,Etablering_2026!$B:$B,"&lt;="&amp;DATE($A$7,D$8,1),Etablering_2026!$C:$C,"&gt;="&amp;DATE($A$7,D$8,1))</f>
        <v>0</v>
      </c>
      <c r="E57" s="30">
        <f>SUMIFS(Etablering_2026!$L:$L,Etablering_2026!$A:$A,$A57,Etablering_2026!$B:$B,"&lt;="&amp;DATE($A$7,E$8,1),Etablering_2026!$C:$C,"&gt;="&amp;DATE($A$7,E$8,1))</f>
        <v>0</v>
      </c>
      <c r="F57" s="30">
        <f>SUMIFS(Etablering_2026!$L:$L,Etablering_2026!$A:$A,$A57,Etablering_2026!$B:$B,"&lt;="&amp;DATE($A$7,F$8,1),Etablering_2026!$C:$C,"&gt;="&amp;DATE($A$7,F$8,1))</f>
        <v>0</v>
      </c>
      <c r="G57" s="30">
        <f>SUMIFS(Etablering_2026!$L:$L,Etablering_2026!$A:$A,$A57,Etablering_2026!$B:$B,"&lt;="&amp;DATE($A$7,G$8,1),Etablering_2026!$C:$C,"&gt;="&amp;DATE($A$7,G$8,1))</f>
        <v>0</v>
      </c>
      <c r="H57" s="30">
        <f>SUMIFS(Etablering_2026!$L:$L,Etablering_2026!$A:$A,$A57,Etablering_2026!$B:$B,"&lt;="&amp;DATE($A$7,H$8,1),Etablering_2026!$C:$C,"&gt;="&amp;DATE($A$7,H$8,1))</f>
        <v>0</v>
      </c>
      <c r="I57" s="30">
        <f>SUMIFS(Etablering_2026!$L:$L,Etablering_2026!$A:$A,$A57,Etablering_2026!$B:$B,"&lt;="&amp;DATE($A$7,I$8,1),Etablering_2026!$C:$C,"&gt;="&amp;DATE($A$7,I$8,1))</f>
        <v>0</v>
      </c>
      <c r="J57" s="30">
        <f>SUMIFS(Etablering_2026!$L:$L,Etablering_2026!$A:$A,$A57,Etablering_2026!$B:$B,"&lt;="&amp;DATE($A$7,J$8,1),Etablering_2026!$C:$C,"&gt;="&amp;DATE($A$7,J$8,1))</f>
        <v>0</v>
      </c>
      <c r="K57" s="30">
        <f>SUMIFS(Etablering_2026!$L:$L,Etablering_2026!$A:$A,$A57,Etablering_2026!$B:$B,"&lt;="&amp;DATE($A$7,K$8,1),Etablering_2026!$C:$C,"&gt;="&amp;DATE($A$7,K$8,1))</f>
        <v>0</v>
      </c>
      <c r="L57" s="30">
        <f>SUMIFS(Etablering_2026!$L:$L,Etablering_2026!$A:$A,$A57,Etablering_2026!$B:$B,"&lt;="&amp;DATE($A$7,L$8,1),Etablering_2026!$C:$C,"&gt;="&amp;DATE($A$7,L$8,1))</f>
        <v>0</v>
      </c>
      <c r="M57" s="31">
        <f>SUMIFS(Etablering_2026!$L:$L,Etablering_2026!$A:$A,$A57,Etablering_2026!$B:$B,"&lt;="&amp;DATE($A$7,M$8,1),Etablering_2026!$C:$C,"&gt;="&amp;DATE($A$7,M$8,1))</f>
        <v>0</v>
      </c>
      <c r="N57" s="32">
        <f t="shared" ref="N57:N73" si="8">SUM(B57:M57)</f>
        <v>0</v>
      </c>
      <c r="O57" s="13"/>
      <c r="P57" s="13"/>
      <c r="Q57" s="13"/>
      <c r="R57" s="13"/>
      <c r="S57" s="13"/>
      <c r="T57" s="13"/>
      <c r="U57" s="13"/>
      <c r="V57" s="13"/>
      <c r="W57" s="13"/>
      <c r="X57" s="13"/>
      <c r="Y57" s="13"/>
      <c r="Z57" s="13"/>
    </row>
    <row r="58" spans="1:26">
      <c r="A58" s="33" t="s">
        <v>118</v>
      </c>
      <c r="B58" s="33">
        <f>SUMIFS(Etablering_2026!$L:$L,Etablering_2026!$A:$A,$A58,Etablering_2026!$B:$B,"&lt;="&amp;DATE($A$7,B$8,1),Etablering_2026!$C:$C,"&gt;="&amp;DATE($A$7,B$8,1))</f>
        <v>0</v>
      </c>
      <c r="C58" s="33">
        <f>SUMIFS(Etablering_2026!$L:$L,Etablering_2026!$A:$A,$A58,Etablering_2026!$B:$B,"&lt;="&amp;DATE($A$7,C$8,1),Etablering_2026!$C:$C,"&gt;="&amp;DATE($A$7,C$8,1))</f>
        <v>0</v>
      </c>
      <c r="D58" s="33">
        <f>SUMIFS(Etablering_2026!$L:$L,Etablering_2026!$A:$A,$A58,Etablering_2026!$B:$B,"&lt;="&amp;DATE($A$7,D$8,1),Etablering_2026!$C:$C,"&gt;="&amp;DATE($A$7,D$8,1))</f>
        <v>0</v>
      </c>
      <c r="E58" s="33">
        <f>SUMIFS(Etablering_2026!$L:$L,Etablering_2026!$A:$A,$A58,Etablering_2026!$B:$B,"&lt;="&amp;DATE($A$7,E$8,1),Etablering_2026!$C:$C,"&gt;="&amp;DATE($A$7,E$8,1))</f>
        <v>0</v>
      </c>
      <c r="F58" s="33">
        <f>SUMIFS(Etablering_2026!$L:$L,Etablering_2026!$A:$A,$A58,Etablering_2026!$B:$B,"&lt;="&amp;DATE($A$7,F$8,1),Etablering_2026!$C:$C,"&gt;="&amp;DATE($A$7,F$8,1))</f>
        <v>0</v>
      </c>
      <c r="G58" s="33">
        <f>SUMIFS(Etablering_2026!$L:$L,Etablering_2026!$A:$A,$A58,Etablering_2026!$B:$B,"&lt;="&amp;DATE($A$7,G$8,1),Etablering_2026!$C:$C,"&gt;="&amp;DATE($A$7,G$8,1))</f>
        <v>0</v>
      </c>
      <c r="H58" s="33">
        <f>SUMIFS(Etablering_2026!$L:$L,Etablering_2026!$A:$A,$A58,Etablering_2026!$B:$B,"&lt;="&amp;DATE($A$7,H$8,1),Etablering_2026!$C:$C,"&gt;="&amp;DATE($A$7,H$8,1))</f>
        <v>0</v>
      </c>
      <c r="I58" s="33">
        <f>SUMIFS(Etablering_2026!$L:$L,Etablering_2026!$A:$A,$A58,Etablering_2026!$B:$B,"&lt;="&amp;DATE($A$7,I$8,1),Etablering_2026!$C:$C,"&gt;="&amp;DATE($A$7,I$8,1))</f>
        <v>0</v>
      </c>
      <c r="J58" s="33">
        <f>SUMIFS(Etablering_2026!$L:$L,Etablering_2026!$A:$A,$A58,Etablering_2026!$B:$B,"&lt;="&amp;DATE($A$7,J$8,1),Etablering_2026!$C:$C,"&gt;="&amp;DATE($A$7,J$8,1))</f>
        <v>0</v>
      </c>
      <c r="K58" s="33">
        <f>SUMIFS(Etablering_2026!$L:$L,Etablering_2026!$A:$A,$A58,Etablering_2026!$B:$B,"&lt;="&amp;DATE($A$7,K$8,1),Etablering_2026!$C:$C,"&gt;="&amp;DATE($A$7,K$8,1))</f>
        <v>0</v>
      </c>
      <c r="L58" s="33">
        <f>SUMIFS(Etablering_2026!$L:$L,Etablering_2026!$A:$A,$A58,Etablering_2026!$B:$B,"&lt;="&amp;DATE($A$7,L$8,1),Etablering_2026!$C:$C,"&gt;="&amp;DATE($A$7,L$8,1))</f>
        <v>0</v>
      </c>
      <c r="M58" s="34">
        <f>SUMIFS(Etablering_2026!$L:$L,Etablering_2026!$A:$A,$A58,Etablering_2026!$B:$B,"&lt;="&amp;DATE($A$7,M$8,1),Etablering_2026!$C:$C,"&gt;="&amp;DATE($A$7,M$8,1))</f>
        <v>0</v>
      </c>
      <c r="N58" s="35">
        <f t="shared" si="8"/>
        <v>0</v>
      </c>
      <c r="O58" s="13"/>
      <c r="P58" s="13"/>
      <c r="Q58" s="13"/>
      <c r="R58" s="13"/>
      <c r="S58" s="13"/>
      <c r="T58" s="13"/>
      <c r="U58" s="13"/>
      <c r="V58" s="13"/>
      <c r="W58" s="13"/>
      <c r="X58" s="13"/>
      <c r="Y58" s="13"/>
      <c r="Z58" s="13"/>
    </row>
    <row r="59" spans="1:26">
      <c r="A59" s="30" t="s">
        <v>120</v>
      </c>
      <c r="B59" s="30">
        <f>SUMIFS(Etablering_2026!$L:$L,Etablering_2026!$A:$A,$A59,Etablering_2026!$B:$B,"&lt;="&amp;DATE($A$7,B$8,1),Etablering_2026!$C:$C,"&gt;="&amp;DATE($A$7,B$8,1))</f>
        <v>0</v>
      </c>
      <c r="C59" s="30">
        <f>SUMIFS(Etablering_2026!$L:$L,Etablering_2026!$A:$A,$A59,Etablering_2026!$B:$B,"&lt;="&amp;DATE($A$7,C$8,1),Etablering_2026!$C:$C,"&gt;="&amp;DATE($A$7,C$8,1))</f>
        <v>0</v>
      </c>
      <c r="D59" s="30">
        <f>SUMIFS(Etablering_2026!$L:$L,Etablering_2026!$A:$A,$A59,Etablering_2026!$B:$B,"&lt;="&amp;DATE($A$7,D$8,1),Etablering_2026!$C:$C,"&gt;="&amp;DATE($A$7,D$8,1))</f>
        <v>0</v>
      </c>
      <c r="E59" s="30">
        <f>SUMIFS(Etablering_2026!$L:$L,Etablering_2026!$A:$A,$A59,Etablering_2026!$B:$B,"&lt;="&amp;DATE($A$7,E$8,1),Etablering_2026!$C:$C,"&gt;="&amp;DATE($A$7,E$8,1))</f>
        <v>0</v>
      </c>
      <c r="F59" s="30">
        <f>SUMIFS(Etablering_2026!$L:$L,Etablering_2026!$A:$A,$A59,Etablering_2026!$B:$B,"&lt;="&amp;DATE($A$7,F$8,1),Etablering_2026!$C:$C,"&gt;="&amp;DATE($A$7,F$8,1))</f>
        <v>0</v>
      </c>
      <c r="G59" s="30">
        <f>SUMIFS(Etablering_2026!$L:$L,Etablering_2026!$A:$A,$A59,Etablering_2026!$B:$B,"&lt;="&amp;DATE($A$7,G$8,1),Etablering_2026!$C:$C,"&gt;="&amp;DATE($A$7,G$8,1))</f>
        <v>0</v>
      </c>
      <c r="H59" s="30">
        <f>SUMIFS(Etablering_2026!$L:$L,Etablering_2026!$A:$A,$A59,Etablering_2026!$B:$B,"&lt;="&amp;DATE($A$7,H$8,1),Etablering_2026!$C:$C,"&gt;="&amp;DATE($A$7,H$8,1))</f>
        <v>0</v>
      </c>
      <c r="I59" s="30">
        <f>SUMIFS(Etablering_2026!$L:$L,Etablering_2026!$A:$A,$A59,Etablering_2026!$B:$B,"&lt;="&amp;DATE($A$7,I$8,1),Etablering_2026!$C:$C,"&gt;="&amp;DATE($A$7,I$8,1))</f>
        <v>0</v>
      </c>
      <c r="J59" s="30">
        <f>SUMIFS(Etablering_2026!$L:$L,Etablering_2026!$A:$A,$A59,Etablering_2026!$B:$B,"&lt;="&amp;DATE($A$7,J$8,1),Etablering_2026!$C:$C,"&gt;="&amp;DATE($A$7,J$8,1))</f>
        <v>0</v>
      </c>
      <c r="K59" s="30">
        <f>SUMIFS(Etablering_2026!$L:$L,Etablering_2026!$A:$A,$A59,Etablering_2026!$B:$B,"&lt;="&amp;DATE($A$7,K$8,1),Etablering_2026!$C:$C,"&gt;="&amp;DATE($A$7,K$8,1))</f>
        <v>0</v>
      </c>
      <c r="L59" s="30">
        <f>SUMIFS(Etablering_2026!$L:$L,Etablering_2026!$A:$A,$A59,Etablering_2026!$B:$B,"&lt;="&amp;DATE($A$7,L$8,1),Etablering_2026!$C:$C,"&gt;="&amp;DATE($A$7,L$8,1))</f>
        <v>0</v>
      </c>
      <c r="M59" s="31">
        <f>SUMIFS(Etablering_2026!$L:$L,Etablering_2026!$A:$A,$A59,Etablering_2026!$B:$B,"&lt;="&amp;DATE($A$7,M$8,1),Etablering_2026!$C:$C,"&gt;="&amp;DATE($A$7,M$8,1))</f>
        <v>0</v>
      </c>
      <c r="N59" s="32">
        <f t="shared" si="8"/>
        <v>0</v>
      </c>
      <c r="O59" s="13"/>
      <c r="P59" s="13"/>
      <c r="Q59" s="13"/>
      <c r="R59" s="13"/>
      <c r="S59" s="13"/>
      <c r="T59" s="13"/>
      <c r="U59" s="13"/>
      <c r="V59" s="13"/>
      <c r="W59" s="13"/>
      <c r="X59" s="13"/>
      <c r="Y59" s="13"/>
      <c r="Z59" s="13"/>
    </row>
    <row r="60" spans="1:26">
      <c r="A60" s="33" t="s">
        <v>122</v>
      </c>
      <c r="B60" s="33">
        <f>SUMIFS(Etablering_2026!$L:$L,Etablering_2026!$A:$A,$A60,Etablering_2026!$B:$B,"&lt;="&amp;DATE($A$7,B$8,1),Etablering_2026!$C:$C,"&gt;="&amp;DATE($A$7,B$8,1))</f>
        <v>0</v>
      </c>
      <c r="C60" s="33">
        <f>SUMIFS(Etablering_2026!$L:$L,Etablering_2026!$A:$A,$A60,Etablering_2026!$B:$B,"&lt;="&amp;DATE($A$7,C$8,1),Etablering_2026!$C:$C,"&gt;="&amp;DATE($A$7,C$8,1))</f>
        <v>0</v>
      </c>
      <c r="D60" s="33">
        <f>SUMIFS(Etablering_2026!$L:$L,Etablering_2026!$A:$A,$A60,Etablering_2026!$B:$B,"&lt;="&amp;DATE($A$7,D$8,1),Etablering_2026!$C:$C,"&gt;="&amp;DATE($A$7,D$8,1))</f>
        <v>0</v>
      </c>
      <c r="E60" s="33">
        <f>SUMIFS(Etablering_2026!$L:$L,Etablering_2026!$A:$A,$A60,Etablering_2026!$B:$B,"&lt;="&amp;DATE($A$7,E$8,1),Etablering_2026!$C:$C,"&gt;="&amp;DATE($A$7,E$8,1))</f>
        <v>0</v>
      </c>
      <c r="F60" s="33">
        <f>SUMIFS(Etablering_2026!$L:$L,Etablering_2026!$A:$A,$A60,Etablering_2026!$B:$B,"&lt;="&amp;DATE($A$7,F$8,1),Etablering_2026!$C:$C,"&gt;="&amp;DATE($A$7,F$8,1))</f>
        <v>0</v>
      </c>
      <c r="G60" s="33">
        <f>SUMIFS(Etablering_2026!$L:$L,Etablering_2026!$A:$A,$A60,Etablering_2026!$B:$B,"&lt;="&amp;DATE($A$7,G$8,1),Etablering_2026!$C:$C,"&gt;="&amp;DATE($A$7,G$8,1))</f>
        <v>0</v>
      </c>
      <c r="H60" s="33">
        <f>SUMIFS(Etablering_2026!$L:$L,Etablering_2026!$A:$A,$A60,Etablering_2026!$B:$B,"&lt;="&amp;DATE($A$7,H$8,1),Etablering_2026!$C:$C,"&gt;="&amp;DATE($A$7,H$8,1))</f>
        <v>3200</v>
      </c>
      <c r="I60" s="33">
        <f>SUMIFS(Etablering_2026!$L:$L,Etablering_2026!$A:$A,$A60,Etablering_2026!$B:$B,"&lt;="&amp;DATE($A$7,I$8,1),Etablering_2026!$C:$C,"&gt;="&amp;DATE($A$7,I$8,1))</f>
        <v>0</v>
      </c>
      <c r="J60" s="33">
        <f>SUMIFS(Etablering_2026!$L:$L,Etablering_2026!$A:$A,$A60,Etablering_2026!$B:$B,"&lt;="&amp;DATE($A$7,J$8,1),Etablering_2026!$C:$C,"&gt;="&amp;DATE($A$7,J$8,1))</f>
        <v>0</v>
      </c>
      <c r="K60" s="33">
        <f>SUMIFS(Etablering_2026!$L:$L,Etablering_2026!$A:$A,$A60,Etablering_2026!$B:$B,"&lt;="&amp;DATE($A$7,K$8,1),Etablering_2026!$C:$C,"&gt;="&amp;DATE($A$7,K$8,1))</f>
        <v>0</v>
      </c>
      <c r="L60" s="33">
        <f>SUMIFS(Etablering_2026!$L:$L,Etablering_2026!$A:$A,$A60,Etablering_2026!$B:$B,"&lt;="&amp;DATE($A$7,L$8,1),Etablering_2026!$C:$C,"&gt;="&amp;DATE($A$7,L$8,1))</f>
        <v>0</v>
      </c>
      <c r="M60" s="34">
        <f>SUMIFS(Etablering_2026!$L:$L,Etablering_2026!$A:$A,$A60,Etablering_2026!$B:$B,"&lt;="&amp;DATE($A$7,M$8,1),Etablering_2026!$C:$C,"&gt;="&amp;DATE($A$7,M$8,1))</f>
        <v>0</v>
      </c>
      <c r="N60" s="35">
        <f t="shared" si="8"/>
        <v>3200</v>
      </c>
      <c r="O60" s="13"/>
      <c r="P60" s="13"/>
      <c r="Q60" s="13"/>
      <c r="R60" s="13"/>
      <c r="S60" s="13"/>
      <c r="T60" s="13"/>
      <c r="U60" s="13"/>
      <c r="V60" s="13"/>
      <c r="W60" s="13"/>
      <c r="X60" s="13"/>
      <c r="Y60" s="13"/>
      <c r="Z60" s="13"/>
    </row>
    <row r="61" spans="1:26">
      <c r="A61" s="30" t="s">
        <v>123</v>
      </c>
      <c r="B61" s="30">
        <f>SUMIFS(Etablering_2026!$L:$L,Etablering_2026!$A:$A,$A61,Etablering_2026!$B:$B,"&lt;="&amp;DATE($A$7,B$8,1),Etablering_2026!$C:$C,"&gt;="&amp;DATE($A$7,B$8,1))</f>
        <v>0</v>
      </c>
      <c r="C61" s="30">
        <f>SUMIFS(Etablering_2026!$L:$L,Etablering_2026!$A:$A,$A61,Etablering_2026!$B:$B,"&lt;="&amp;DATE($A$7,C$8,1),Etablering_2026!$C:$C,"&gt;="&amp;DATE($A$7,C$8,1))</f>
        <v>0</v>
      </c>
      <c r="D61" s="30">
        <f>SUMIFS(Etablering_2026!$L:$L,Etablering_2026!$A:$A,$A61,Etablering_2026!$B:$B,"&lt;="&amp;DATE($A$7,D$8,1),Etablering_2026!$C:$C,"&gt;="&amp;DATE($A$7,D$8,1))</f>
        <v>0</v>
      </c>
      <c r="E61" s="30">
        <f>SUMIFS(Etablering_2026!$L:$L,Etablering_2026!$A:$A,$A61,Etablering_2026!$B:$B,"&lt;="&amp;DATE($A$7,E$8,1),Etablering_2026!$C:$C,"&gt;="&amp;DATE($A$7,E$8,1))</f>
        <v>0</v>
      </c>
      <c r="F61" s="30">
        <f>SUMIFS(Etablering_2026!$L:$L,Etablering_2026!$A:$A,$A61,Etablering_2026!$B:$B,"&lt;="&amp;DATE($A$7,F$8,1),Etablering_2026!$C:$C,"&gt;="&amp;DATE($A$7,F$8,1))</f>
        <v>0</v>
      </c>
      <c r="G61" s="30">
        <f>SUMIFS(Etablering_2026!$L:$L,Etablering_2026!$A:$A,$A61,Etablering_2026!$B:$B,"&lt;="&amp;DATE($A$7,G$8,1),Etablering_2026!$C:$C,"&gt;="&amp;DATE($A$7,G$8,1))</f>
        <v>0</v>
      </c>
      <c r="H61" s="30">
        <f>SUMIFS(Etablering_2026!$L:$L,Etablering_2026!$A:$A,$A61,Etablering_2026!$B:$B,"&lt;="&amp;DATE($A$7,H$8,1),Etablering_2026!$C:$C,"&gt;="&amp;DATE($A$7,H$8,1))</f>
        <v>25840</v>
      </c>
      <c r="I61" s="30">
        <f>SUMIFS(Etablering_2026!$L:$L,Etablering_2026!$A:$A,$A61,Etablering_2026!$B:$B,"&lt;="&amp;DATE($A$7,I$8,1),Etablering_2026!$C:$C,"&gt;="&amp;DATE($A$7,I$8,1))</f>
        <v>0</v>
      </c>
      <c r="J61" s="30">
        <f>SUMIFS(Etablering_2026!$L:$L,Etablering_2026!$A:$A,$A61,Etablering_2026!$B:$B,"&lt;="&amp;DATE($A$7,J$8,1),Etablering_2026!$C:$C,"&gt;="&amp;DATE($A$7,J$8,1))</f>
        <v>0</v>
      </c>
      <c r="K61" s="30">
        <f>SUMIFS(Etablering_2026!$L:$L,Etablering_2026!$A:$A,$A61,Etablering_2026!$B:$B,"&lt;="&amp;DATE($A$7,K$8,1),Etablering_2026!$C:$C,"&gt;="&amp;DATE($A$7,K$8,1))</f>
        <v>0</v>
      </c>
      <c r="L61" s="30">
        <f>SUMIFS(Etablering_2026!$L:$L,Etablering_2026!$A:$A,$A61,Etablering_2026!$B:$B,"&lt;="&amp;DATE($A$7,L$8,1),Etablering_2026!$C:$C,"&gt;="&amp;DATE($A$7,L$8,1))</f>
        <v>0</v>
      </c>
      <c r="M61" s="31">
        <f>SUMIFS(Etablering_2026!$L:$L,Etablering_2026!$A:$A,$A61,Etablering_2026!$B:$B,"&lt;="&amp;DATE($A$7,M$8,1),Etablering_2026!$C:$C,"&gt;="&amp;DATE($A$7,M$8,1))</f>
        <v>0</v>
      </c>
      <c r="N61" s="32">
        <f t="shared" si="8"/>
        <v>25840</v>
      </c>
      <c r="O61" s="13"/>
      <c r="P61" s="13"/>
      <c r="Q61" s="13"/>
      <c r="R61" s="13"/>
      <c r="S61" s="13"/>
      <c r="T61" s="13"/>
      <c r="U61" s="13"/>
      <c r="V61" s="13"/>
      <c r="W61" s="13"/>
      <c r="X61" s="13"/>
      <c r="Y61" s="13"/>
      <c r="Z61" s="13"/>
    </row>
    <row r="62" spans="1:26">
      <c r="A62" s="50" t="s">
        <v>124</v>
      </c>
      <c r="B62" s="33">
        <f>SUMIFS(Etablering_2026!$L:$L,Etablering_2026!$A:$A,$A62,Etablering_2026!$B:$B,"&lt;="&amp;DATE($A$7,B$8,1),Etablering_2026!$C:$C,"&gt;="&amp;DATE($A$7,B$8,1))</f>
        <v>0</v>
      </c>
      <c r="C62" s="33">
        <f>SUMIFS(Etablering_2026!$L:$L,Etablering_2026!$A:$A,$A62,Etablering_2026!$B:$B,"&lt;="&amp;DATE($A$7,C$8,1),Etablering_2026!$C:$C,"&gt;="&amp;DATE($A$7,C$8,1))</f>
        <v>0</v>
      </c>
      <c r="D62" s="33">
        <f>SUMIFS(Etablering_2026!$L:$L,Etablering_2026!$A:$A,$A62,Etablering_2026!$B:$B,"&lt;="&amp;DATE($A$7,D$8,1),Etablering_2026!$C:$C,"&gt;="&amp;DATE($A$7,D$8,1))</f>
        <v>0</v>
      </c>
      <c r="E62" s="33">
        <f>SUMIFS(Etablering_2026!$L:$L,Etablering_2026!$A:$A,$A62,Etablering_2026!$B:$B,"&lt;="&amp;DATE($A$7,E$8,1),Etablering_2026!$C:$C,"&gt;="&amp;DATE($A$7,E$8,1))</f>
        <v>0</v>
      </c>
      <c r="F62" s="33">
        <f>SUMIFS(Etablering_2026!$L:$L,Etablering_2026!$A:$A,$A62,Etablering_2026!$B:$B,"&lt;="&amp;DATE($A$7,F$8,1),Etablering_2026!$C:$C,"&gt;="&amp;DATE($A$7,F$8,1))</f>
        <v>0</v>
      </c>
      <c r="G62" s="33">
        <f>SUMIFS(Etablering_2026!$L:$L,Etablering_2026!$A:$A,$A62,Etablering_2026!$B:$B,"&lt;="&amp;DATE($A$7,G$8,1),Etablering_2026!$C:$C,"&gt;="&amp;DATE($A$7,G$8,1))</f>
        <v>0</v>
      </c>
      <c r="H62" s="33">
        <f>SUMIFS(Etablering_2026!$L:$L,Etablering_2026!$A:$A,$A62,Etablering_2026!$B:$B,"&lt;="&amp;DATE($A$7,H$8,1),Etablering_2026!$C:$C,"&gt;="&amp;DATE($A$7,H$8,1))</f>
        <v>0</v>
      </c>
      <c r="I62" s="33">
        <f>SUMIFS(Etablering_2026!$L:$L,Etablering_2026!$A:$A,$A62,Etablering_2026!$B:$B,"&lt;="&amp;DATE($A$7,I$8,1),Etablering_2026!$C:$C,"&gt;="&amp;DATE($A$7,I$8,1))</f>
        <v>0</v>
      </c>
      <c r="J62" s="50">
        <f>SUMIFS(Etablering_2026!$L:$L,Etablering_2026!$A:$A,$A62,Etablering_2026!$B:$B,"&lt;="&amp;DATE($A$7,J$8,1),Etablering_2026!$C:$C,"&gt;="&amp;DATE($A$7,J$8,1))*0.25</f>
        <v>50000</v>
      </c>
      <c r="K62" s="33">
        <f>SUMIFS(Etablering_2026!$L:$L,Etablering_2026!$A:$A,$A62,Etablering_2026!$B:$B,"&lt;="&amp;DATE($A$7,K$8,1),Etablering_2026!$C:$C,"&gt;="&amp;DATE($A$7,K$8,1))</f>
        <v>0</v>
      </c>
      <c r="L62" s="33">
        <f>SUMIFS(Etablering_2026!$L:$L,Etablering_2026!$A:$A,$A62,Etablering_2026!$B:$B,"&lt;="&amp;DATE($A$7,L$8,1),Etablering_2026!$C:$C,"&gt;="&amp;DATE($A$7,L$8,1))</f>
        <v>0</v>
      </c>
      <c r="M62" s="34">
        <f>SUMIFS(Etablering_2026!$L:$L,Etablering_2026!$A:$A,$A62,Etablering_2026!$B:$B,"&lt;="&amp;DATE($A$7,M$8,1),Etablering_2026!$C:$C,"&gt;="&amp;DATE($A$7,M$8,1))</f>
        <v>0</v>
      </c>
      <c r="N62" s="35">
        <f t="shared" si="8"/>
        <v>50000</v>
      </c>
      <c r="O62" s="13"/>
      <c r="P62" s="13"/>
      <c r="Q62" s="13"/>
      <c r="R62" s="13"/>
      <c r="S62" s="13"/>
      <c r="T62" s="13"/>
      <c r="U62" s="13"/>
      <c r="V62" s="13"/>
      <c r="W62" s="13"/>
      <c r="X62" s="13"/>
      <c r="Y62" s="13"/>
      <c r="Z62" s="13"/>
    </row>
    <row r="63" spans="1:26">
      <c r="A63" s="30" t="s">
        <v>125</v>
      </c>
      <c r="B63" s="30">
        <f>SUMIFS(Etablering_2026!$L:$L,Etablering_2026!$A:$A,$A63,Etablering_2026!$B:$B,"&lt;="&amp;DATE($A$7,B$8,1),Etablering_2026!$C:$C,"&gt;="&amp;DATE($A$7,B$8,1))</f>
        <v>0</v>
      </c>
      <c r="C63" s="30">
        <f>SUMIFS(Etablering_2026!$L:$L,Etablering_2026!$A:$A,$A63,Etablering_2026!$B:$B,"&lt;="&amp;DATE($A$7,C$8,1),Etablering_2026!$C:$C,"&gt;="&amp;DATE($A$7,C$8,1))</f>
        <v>0</v>
      </c>
      <c r="D63" s="30">
        <f>SUMIFS(Etablering_2026!$L:$L,Etablering_2026!$A:$A,$A63,Etablering_2026!$B:$B,"&lt;="&amp;DATE($A$7,D$8,1),Etablering_2026!$C:$C,"&gt;="&amp;DATE($A$7,D$8,1))</f>
        <v>0</v>
      </c>
      <c r="E63" s="30">
        <f>SUMIFS(Etablering_2026!$L:$L,Etablering_2026!$A:$A,$A63,Etablering_2026!$B:$B,"&lt;="&amp;DATE($A$7,E$8,1),Etablering_2026!$C:$C,"&gt;="&amp;DATE($A$7,E$8,1))</f>
        <v>0</v>
      </c>
      <c r="F63" s="30">
        <f>SUMIFS(Etablering_2026!$L:$L,Etablering_2026!$A:$A,$A63,Etablering_2026!$B:$B,"&lt;="&amp;DATE($A$7,F$8,1),Etablering_2026!$C:$C,"&gt;="&amp;DATE($A$7,F$8,1))</f>
        <v>0</v>
      </c>
      <c r="G63" s="30">
        <f>SUMIFS(Etablering_2026!$L:$L,Etablering_2026!$A:$A,$A63,Etablering_2026!$B:$B,"&lt;="&amp;DATE($A$7,G$8,1),Etablering_2026!$C:$C,"&gt;="&amp;DATE($A$7,G$8,1))</f>
        <v>0</v>
      </c>
      <c r="H63" s="30">
        <f>SUMIFS(Etablering_2026!$L:$L,Etablering_2026!$A:$A,$A63,Etablering_2026!$B:$B,"&lt;="&amp;DATE($A$7,H$8,1),Etablering_2026!$C:$C,"&gt;="&amp;DATE($A$7,H$8,1))</f>
        <v>16609.6</v>
      </c>
      <c r="I63" s="30">
        <f>SUMIFS(Etablering_2026!$L:$L,Etablering_2026!$A:$A,$A63,Etablering_2026!$B:$B,"&lt;="&amp;DATE($A$7,I$8,1),Etablering_2026!$C:$C,"&gt;="&amp;DATE($A$7,I$8,1))</f>
        <v>0</v>
      </c>
      <c r="J63" s="30">
        <f>SUMIFS(Etablering_2026!$L:$L,Etablering_2026!$A:$A,$A63,Etablering_2026!$B:$B,"&lt;="&amp;DATE($A$7,J$8,1),Etablering_2026!$C:$C,"&gt;="&amp;DATE($A$7,J$8,1))</f>
        <v>0</v>
      </c>
      <c r="K63" s="30">
        <f>SUMIFS(Etablering_2026!$L:$L,Etablering_2026!$A:$A,$A63,Etablering_2026!$B:$B,"&lt;="&amp;DATE($A$7,K$8,1),Etablering_2026!$C:$C,"&gt;="&amp;DATE($A$7,K$8,1))</f>
        <v>0</v>
      </c>
      <c r="L63" s="30">
        <f>SUMIFS(Etablering_2026!$L:$L,Etablering_2026!$A:$A,$A63,Etablering_2026!$B:$B,"&lt;="&amp;DATE($A$7,L$8,1),Etablering_2026!$C:$C,"&gt;="&amp;DATE($A$7,L$8,1))</f>
        <v>0</v>
      </c>
      <c r="M63" s="31">
        <f>SUMIFS(Etablering_2026!$L:$L,Etablering_2026!$A:$A,$A63,Etablering_2026!$B:$B,"&lt;="&amp;DATE($A$7,M$8,1),Etablering_2026!$C:$C,"&gt;="&amp;DATE($A$7,M$8,1))</f>
        <v>0</v>
      </c>
      <c r="N63" s="32">
        <f t="shared" si="8"/>
        <v>16609.6</v>
      </c>
      <c r="O63" s="13"/>
      <c r="P63" s="13"/>
      <c r="Q63" s="13"/>
      <c r="R63" s="13"/>
      <c r="S63" s="13"/>
      <c r="T63" s="13"/>
      <c r="U63" s="13"/>
      <c r="V63" s="13"/>
      <c r="W63" s="13"/>
      <c r="X63" s="13"/>
      <c r="Y63" s="13"/>
      <c r="Z63" s="13"/>
    </row>
    <row r="64" spans="1:26">
      <c r="A64" s="33" t="s">
        <v>126</v>
      </c>
      <c r="B64" s="33">
        <f>SUMIFS(Etablering_2026!$L:$L,Etablering_2026!$A:$A,$A64,Etablering_2026!$B:$B,"&lt;="&amp;DATE($A$7,B$8,1),Etablering_2026!$C:$C,"&gt;="&amp;DATE($A$7,B$8,1))</f>
        <v>0</v>
      </c>
      <c r="C64" s="33">
        <f>SUMIFS(Etablering_2026!$L:$L,Etablering_2026!$A:$A,$A64,Etablering_2026!$B:$B,"&lt;="&amp;DATE($A$7,C$8,1),Etablering_2026!$C:$C,"&gt;="&amp;DATE($A$7,C$8,1))</f>
        <v>0</v>
      </c>
      <c r="D64" s="33">
        <f>SUMIFS(Etablering_2026!$L:$L,Etablering_2026!$A:$A,$A64,Etablering_2026!$B:$B,"&lt;="&amp;DATE($A$7,D$8,1),Etablering_2026!$C:$C,"&gt;="&amp;DATE($A$7,D$8,1))</f>
        <v>0</v>
      </c>
      <c r="E64" s="33">
        <f>SUMIFS(Etablering_2026!$L:$L,Etablering_2026!$A:$A,$A64,Etablering_2026!$B:$B,"&lt;="&amp;DATE($A$7,E$8,1),Etablering_2026!$C:$C,"&gt;="&amp;DATE($A$7,E$8,1))</f>
        <v>0</v>
      </c>
      <c r="F64" s="33">
        <f>SUMIFS(Etablering_2026!$L:$L,Etablering_2026!$A:$A,$A64,Etablering_2026!$B:$B,"&lt;="&amp;DATE($A$7,F$8,1),Etablering_2026!$C:$C,"&gt;="&amp;DATE($A$7,F$8,1))</f>
        <v>0</v>
      </c>
      <c r="G64" s="33">
        <f>SUMIFS(Etablering_2026!$L:$L,Etablering_2026!$A:$A,$A64,Etablering_2026!$B:$B,"&lt;="&amp;DATE($A$7,G$8,1),Etablering_2026!$C:$C,"&gt;="&amp;DATE($A$7,G$8,1))</f>
        <v>0</v>
      </c>
      <c r="H64" s="33">
        <f>SUMIFS(Etablering_2026!$L:$L,Etablering_2026!$A:$A,$A64,Etablering_2026!$B:$B,"&lt;="&amp;DATE($A$7,H$8,1),Etablering_2026!$C:$C,"&gt;="&amp;DATE($A$7,H$8,1))</f>
        <v>0</v>
      </c>
      <c r="I64" s="33">
        <f>SUMIFS(Etablering_2026!$L:$L,Etablering_2026!$A:$A,$A64,Etablering_2026!$B:$B,"&lt;="&amp;DATE($A$7,I$8,1),Etablering_2026!$C:$C,"&gt;="&amp;DATE($A$7,I$8,1))</f>
        <v>0</v>
      </c>
      <c r="J64" s="33">
        <f>SUMIFS(Etablering_2026!$L:$L,Etablering_2026!$A:$A,$A64,Etablering_2026!$B:$B,"&lt;="&amp;DATE($A$7,J$8,1),Etablering_2026!$C:$C,"&gt;="&amp;DATE($A$7,J$8,1))</f>
        <v>1600</v>
      </c>
      <c r="K64" s="33">
        <f>SUMIFS(Etablering_2026!$L:$L,Etablering_2026!$A:$A,$A64,Etablering_2026!$B:$B,"&lt;="&amp;DATE($A$7,K$8,1),Etablering_2026!$C:$C,"&gt;="&amp;DATE($A$7,K$8,1))</f>
        <v>0</v>
      </c>
      <c r="L64" s="33">
        <f>SUMIFS(Etablering_2026!$L:$L,Etablering_2026!$A:$A,$A64,Etablering_2026!$B:$B,"&lt;="&amp;DATE($A$7,L$8,1),Etablering_2026!$C:$C,"&gt;="&amp;DATE($A$7,L$8,1))</f>
        <v>0</v>
      </c>
      <c r="M64" s="34">
        <f>SUMIFS(Etablering_2026!$L:$L,Etablering_2026!$A:$A,$A64,Etablering_2026!$B:$B,"&lt;="&amp;DATE($A$7,M$8,1),Etablering_2026!$C:$C,"&gt;="&amp;DATE($A$7,M$8,1))</f>
        <v>0</v>
      </c>
      <c r="N64" s="35">
        <f t="shared" si="8"/>
        <v>1600</v>
      </c>
      <c r="O64" s="13"/>
      <c r="P64" s="13"/>
      <c r="Q64" s="13"/>
      <c r="R64" s="13"/>
      <c r="S64" s="13"/>
      <c r="T64" s="13"/>
      <c r="U64" s="13"/>
      <c r="V64" s="13"/>
      <c r="W64" s="13"/>
      <c r="X64" s="13"/>
      <c r="Y64" s="13"/>
      <c r="Z64" s="13"/>
    </row>
    <row r="65" spans="1:26">
      <c r="A65" s="30" t="s">
        <v>127</v>
      </c>
      <c r="B65" s="30">
        <f>SUMIFS(Etablering_2026!$L:$L,Etablering_2026!$A:$A,$A65,Etablering_2026!$B:$B,"&lt;="&amp;DATE($A$7,B$8,1),Etablering_2026!$C:$C,"&gt;="&amp;DATE($A$7,B$8,1))</f>
        <v>0</v>
      </c>
      <c r="C65" s="30">
        <f>SUMIFS(Etablering_2026!$L:$L,Etablering_2026!$A:$A,$A65,Etablering_2026!$B:$B,"&lt;="&amp;DATE($A$7,C$8,1),Etablering_2026!$C:$C,"&gt;="&amp;DATE($A$7,C$8,1))</f>
        <v>0</v>
      </c>
      <c r="D65" s="30">
        <f>SUMIFS(Etablering_2026!$L:$L,Etablering_2026!$A:$A,$A65,Etablering_2026!$B:$B,"&lt;="&amp;DATE($A$7,D$8,1),Etablering_2026!$C:$C,"&gt;="&amp;DATE($A$7,D$8,1))</f>
        <v>0</v>
      </c>
      <c r="E65" s="30">
        <f>SUMIFS(Etablering_2026!$L:$L,Etablering_2026!$A:$A,$A65,Etablering_2026!$B:$B,"&lt;="&amp;DATE($A$7,E$8,1),Etablering_2026!$C:$C,"&gt;="&amp;DATE($A$7,E$8,1))</f>
        <v>0</v>
      </c>
      <c r="F65" s="30">
        <f>SUMIFS(Etablering_2026!$L:$L,Etablering_2026!$A:$A,$A65,Etablering_2026!$B:$B,"&lt;="&amp;DATE($A$7,F$8,1),Etablering_2026!$C:$C,"&gt;="&amp;DATE($A$7,F$8,1))</f>
        <v>0</v>
      </c>
      <c r="G65" s="30">
        <f>SUMIFS(Etablering_2026!$L:$L,Etablering_2026!$A:$A,$A65,Etablering_2026!$B:$B,"&lt;="&amp;DATE($A$7,G$8,1),Etablering_2026!$C:$C,"&gt;="&amp;DATE($A$7,G$8,1))</f>
        <v>0</v>
      </c>
      <c r="H65" s="30">
        <f>SUMIFS(Etablering_2026!$L:$L,Etablering_2026!$A:$A,$A65,Etablering_2026!$B:$B,"&lt;="&amp;DATE($A$7,H$8,1),Etablering_2026!$C:$C,"&gt;="&amp;DATE($A$7,H$8,1))</f>
        <v>0</v>
      </c>
      <c r="I65" s="30">
        <f>SUMIFS(Etablering_2026!$L:$L,Etablering_2026!$A:$A,$A65,Etablering_2026!$B:$B,"&lt;="&amp;DATE($A$7,I$8,1),Etablering_2026!$C:$C,"&gt;="&amp;DATE($A$7,I$8,1))</f>
        <v>0</v>
      </c>
      <c r="J65" s="30">
        <f>SUMIFS(Etablering_2026!$L:$L,Etablering_2026!$A:$A,$A65,Etablering_2026!$B:$B,"&lt;="&amp;DATE($A$7,J$8,1),Etablering_2026!$C:$C,"&gt;="&amp;DATE($A$7,J$8,1))</f>
        <v>0</v>
      </c>
      <c r="K65" s="30">
        <f>SUMIFS(Etablering_2026!$L:$L,Etablering_2026!$A:$A,$A65,Etablering_2026!$B:$B,"&lt;="&amp;DATE($A$7,K$8,1),Etablering_2026!$C:$C,"&gt;="&amp;DATE($A$7,K$8,1))</f>
        <v>8000</v>
      </c>
      <c r="L65" s="30">
        <f>SUMIFS(Etablering_2026!$L:$L,Etablering_2026!$A:$A,$A65,Etablering_2026!$B:$B,"&lt;="&amp;DATE($A$7,L$8,1),Etablering_2026!$C:$C,"&gt;="&amp;DATE($A$7,L$8,1))</f>
        <v>0</v>
      </c>
      <c r="M65" s="31">
        <f>SUMIFS(Etablering_2026!$L:$L,Etablering_2026!$A:$A,$A65,Etablering_2026!$B:$B,"&lt;="&amp;DATE($A$7,M$8,1),Etablering_2026!$C:$C,"&gt;="&amp;DATE($A$7,M$8,1))</f>
        <v>0</v>
      </c>
      <c r="N65" s="32">
        <f t="shared" si="8"/>
        <v>8000</v>
      </c>
      <c r="O65" s="13"/>
      <c r="P65" s="13"/>
      <c r="Q65" s="13"/>
      <c r="R65" s="13"/>
      <c r="S65" s="13"/>
      <c r="T65" s="13"/>
      <c r="U65" s="13"/>
      <c r="V65" s="13"/>
      <c r="W65" s="13"/>
      <c r="X65" s="13"/>
      <c r="Y65" s="13"/>
      <c r="Z65" s="13"/>
    </row>
    <row r="66" spans="1:26">
      <c r="A66" s="33" t="s">
        <v>128</v>
      </c>
      <c r="B66" s="33">
        <f>SUMIFS(Etablering_2026!$L:$L,Etablering_2026!$A:$A,$A66,Etablering_2026!$B:$B,"&lt;="&amp;DATE($A$7,B$8,1),Etablering_2026!$C:$C,"&gt;="&amp;DATE($A$7,B$8,1))</f>
        <v>0</v>
      </c>
      <c r="C66" s="33">
        <f>SUMIFS(Etablering_2026!$L:$L,Etablering_2026!$A:$A,$A66,Etablering_2026!$B:$B,"&lt;="&amp;DATE($A$7,C$8,1),Etablering_2026!$C:$C,"&gt;="&amp;DATE($A$7,C$8,1))</f>
        <v>0</v>
      </c>
      <c r="D66" s="33">
        <f>SUMIFS(Etablering_2026!$L:$L,Etablering_2026!$A:$A,$A66,Etablering_2026!$B:$B,"&lt;="&amp;DATE($A$7,D$8,1),Etablering_2026!$C:$C,"&gt;="&amp;DATE($A$7,D$8,1))</f>
        <v>0</v>
      </c>
      <c r="E66" s="33">
        <f>SUMIFS(Etablering_2026!$L:$L,Etablering_2026!$A:$A,$A66,Etablering_2026!$B:$B,"&lt;="&amp;DATE($A$7,E$8,1),Etablering_2026!$C:$C,"&gt;="&amp;DATE($A$7,E$8,1))</f>
        <v>0</v>
      </c>
      <c r="F66" s="33">
        <f>SUMIFS(Etablering_2026!$L:$L,Etablering_2026!$A:$A,$A66,Etablering_2026!$B:$B,"&lt;="&amp;DATE($A$7,F$8,1),Etablering_2026!$C:$C,"&gt;="&amp;DATE($A$7,F$8,1))</f>
        <v>0</v>
      </c>
      <c r="G66" s="33">
        <f>SUMIFS(Etablering_2026!$L:$L,Etablering_2026!$A:$A,$A66,Etablering_2026!$B:$B,"&lt;="&amp;DATE($A$7,G$8,1),Etablering_2026!$C:$C,"&gt;="&amp;DATE($A$7,G$8,1))</f>
        <v>0</v>
      </c>
      <c r="H66" s="33">
        <f>SUMIFS(Etablering_2026!$L:$L,Etablering_2026!$A:$A,$A66,Etablering_2026!$B:$B,"&lt;="&amp;DATE($A$7,H$8,1),Etablering_2026!$C:$C,"&gt;="&amp;DATE($A$7,H$8,1))</f>
        <v>0</v>
      </c>
      <c r="I66" s="33">
        <f>SUMIFS(Etablering_2026!$L:$L,Etablering_2026!$A:$A,$A66,Etablering_2026!$B:$B,"&lt;="&amp;DATE($A$7,I$8,1),Etablering_2026!$C:$C,"&gt;="&amp;DATE($A$7,I$8,1))</f>
        <v>0</v>
      </c>
      <c r="J66" s="33">
        <f>SUMIFS(Etablering_2026!$L:$L,Etablering_2026!$A:$A,$A66,Etablering_2026!$B:$B,"&lt;="&amp;DATE($A$7,J$8,1),Etablering_2026!$C:$C,"&gt;="&amp;DATE($A$7,J$8,1))</f>
        <v>0</v>
      </c>
      <c r="K66" s="33">
        <f>SUMIFS(Etablering_2026!$L:$L,Etablering_2026!$A:$A,$A66,Etablering_2026!$B:$B,"&lt;="&amp;DATE($A$7,K$8,1),Etablering_2026!$C:$C,"&gt;="&amp;DATE($A$7,K$8,1))</f>
        <v>0</v>
      </c>
      <c r="L66" s="33">
        <f>SUMIFS(Etablering_2026!$L:$L,Etablering_2026!$A:$A,$A66,Etablering_2026!$B:$B,"&lt;="&amp;DATE($A$7,L$8,1),Etablering_2026!$C:$C,"&gt;="&amp;DATE($A$7,L$8,1))</f>
        <v>0</v>
      </c>
      <c r="M66" s="34">
        <f>SUMIFS(Etablering_2026!$L:$L,Etablering_2026!$A:$A,$A66,Etablering_2026!$B:$B,"&lt;="&amp;DATE($A$7,M$8,1),Etablering_2026!$C:$C,"&gt;="&amp;DATE($A$7,M$8,1))</f>
        <v>0</v>
      </c>
      <c r="N66" s="35">
        <f t="shared" si="8"/>
        <v>0</v>
      </c>
      <c r="O66" s="13"/>
      <c r="P66" s="13"/>
      <c r="Q66" s="13"/>
      <c r="R66" s="13"/>
      <c r="S66" s="13"/>
      <c r="T66" s="13"/>
      <c r="U66" s="13"/>
      <c r="V66" s="13"/>
      <c r="W66" s="13"/>
      <c r="X66" s="13"/>
      <c r="Y66" s="13"/>
      <c r="Z66" s="13"/>
    </row>
    <row r="67" spans="1:26">
      <c r="A67" s="30" t="s">
        <v>129</v>
      </c>
      <c r="B67" s="30">
        <f>SUMIFS(Etablering_2026!$L:$L,Etablering_2026!$A:$A,$A67,Etablering_2026!$B:$B,"&lt;="&amp;DATE($A$7,B$8,1),Etablering_2026!$C:$C,"&gt;="&amp;DATE($A$7,B$8,1))</f>
        <v>0</v>
      </c>
      <c r="C67" s="30">
        <f>SUMIFS(Etablering_2026!$L:$L,Etablering_2026!$A:$A,$A67,Etablering_2026!$B:$B,"&lt;="&amp;DATE($A$7,C$8,1),Etablering_2026!$C:$C,"&gt;="&amp;DATE($A$7,C$8,1))</f>
        <v>0</v>
      </c>
      <c r="D67" s="30">
        <f>SUMIFS(Etablering_2026!$L:$L,Etablering_2026!$A:$A,$A67,Etablering_2026!$B:$B,"&lt;="&amp;DATE($A$7,D$8,1),Etablering_2026!$C:$C,"&gt;="&amp;DATE($A$7,D$8,1))</f>
        <v>0</v>
      </c>
      <c r="E67" s="30">
        <f>SUMIFS(Etablering_2026!$L:$L,Etablering_2026!$A:$A,$A67,Etablering_2026!$B:$B,"&lt;="&amp;DATE($A$7,E$8,1),Etablering_2026!$C:$C,"&gt;="&amp;DATE($A$7,E$8,1))</f>
        <v>0</v>
      </c>
      <c r="F67" s="30">
        <f>SUMIFS(Etablering_2026!$L:$L,Etablering_2026!$A:$A,$A67,Etablering_2026!$B:$B,"&lt;="&amp;DATE($A$7,F$8,1),Etablering_2026!$C:$C,"&gt;="&amp;DATE($A$7,F$8,1))</f>
        <v>0</v>
      </c>
      <c r="G67" s="30">
        <f>SUMIFS(Etablering_2026!$L:$L,Etablering_2026!$A:$A,$A67,Etablering_2026!$B:$B,"&lt;="&amp;DATE($A$7,G$8,1),Etablering_2026!$C:$C,"&gt;="&amp;DATE($A$7,G$8,1))</f>
        <v>0</v>
      </c>
      <c r="H67" s="30">
        <f>SUMIFS(Etablering_2026!$L:$L,Etablering_2026!$A:$A,$A67,Etablering_2026!$B:$B,"&lt;="&amp;DATE($A$7,H$8,1),Etablering_2026!$C:$C,"&gt;="&amp;DATE($A$7,H$8,1))</f>
        <v>0</v>
      </c>
      <c r="I67" s="30">
        <f>SUMIFS(Etablering_2026!$L:$L,Etablering_2026!$A:$A,$A67,Etablering_2026!$B:$B,"&lt;="&amp;DATE($A$7,I$8,1),Etablering_2026!$C:$C,"&gt;="&amp;DATE($A$7,I$8,1))</f>
        <v>0</v>
      </c>
      <c r="J67" s="30">
        <f>SUMIFS(Etablering_2026!$L:$L,Etablering_2026!$A:$A,$A67,Etablering_2026!$B:$B,"&lt;="&amp;DATE($A$7,J$8,1),Etablering_2026!$C:$C,"&gt;="&amp;DATE($A$7,J$8,1))</f>
        <v>0</v>
      </c>
      <c r="K67" s="30">
        <f>SUMIFS(Etablering_2026!$L:$L,Etablering_2026!$A:$A,$A67,Etablering_2026!$B:$B,"&lt;="&amp;DATE($A$7,K$8,1),Etablering_2026!$C:$C,"&gt;="&amp;DATE($A$7,K$8,1))</f>
        <v>0</v>
      </c>
      <c r="L67" s="30">
        <f>SUMIFS(Etablering_2026!$L:$L,Etablering_2026!$A:$A,$A67,Etablering_2026!$B:$B,"&lt;="&amp;DATE($A$7,L$8,1),Etablering_2026!$C:$C,"&gt;="&amp;DATE($A$7,L$8,1))</f>
        <v>3200</v>
      </c>
      <c r="M67" s="31">
        <f>SUMIFS(Etablering_2026!$L:$L,Etablering_2026!$A:$A,$A67,Etablering_2026!$B:$B,"&lt;="&amp;DATE($A$7,M$8,1),Etablering_2026!$C:$C,"&gt;="&amp;DATE($A$7,M$8,1))</f>
        <v>0</v>
      </c>
      <c r="N67" s="32">
        <f t="shared" si="8"/>
        <v>3200</v>
      </c>
      <c r="O67" s="13"/>
      <c r="P67" s="13"/>
      <c r="Q67" s="13"/>
      <c r="R67" s="13"/>
      <c r="S67" s="13"/>
      <c r="T67" s="13"/>
      <c r="U67" s="13"/>
      <c r="V67" s="13"/>
      <c r="W67" s="13"/>
      <c r="X67" s="13"/>
      <c r="Y67" s="13"/>
      <c r="Z67" s="13"/>
    </row>
    <row r="68" spans="1:26">
      <c r="A68" s="33" t="s">
        <v>130</v>
      </c>
      <c r="B68" s="33">
        <f>SUMIFS(Etablering_2026!$L:$L,Etablering_2026!$A:$A,$A68,Etablering_2026!$B:$B,"&lt;="&amp;DATE($A$7,B$8,1),Etablering_2026!$C:$C,"&gt;="&amp;DATE($A$7,B$8,1))</f>
        <v>0</v>
      </c>
      <c r="C68" s="33">
        <f>SUMIFS(Etablering_2026!$L:$L,Etablering_2026!$A:$A,$A68,Etablering_2026!$B:$B,"&lt;="&amp;DATE($A$7,C$8,1),Etablering_2026!$C:$C,"&gt;="&amp;DATE($A$7,C$8,1))</f>
        <v>0</v>
      </c>
      <c r="D68" s="33">
        <f>SUMIFS(Etablering_2026!$L:$L,Etablering_2026!$A:$A,$A68,Etablering_2026!$B:$B,"&lt;="&amp;DATE($A$7,D$8,1),Etablering_2026!$C:$C,"&gt;="&amp;DATE($A$7,D$8,1))</f>
        <v>0</v>
      </c>
      <c r="E68" s="33">
        <f>SUMIFS(Etablering_2026!$L:$L,Etablering_2026!$A:$A,$A68,Etablering_2026!$B:$B,"&lt;="&amp;DATE($A$7,E$8,1),Etablering_2026!$C:$C,"&gt;="&amp;DATE($A$7,E$8,1))</f>
        <v>0</v>
      </c>
      <c r="F68" s="33">
        <f>SUMIFS(Etablering_2026!$L:$L,Etablering_2026!$A:$A,$A68,Etablering_2026!$B:$B,"&lt;="&amp;DATE($A$7,F$8,1),Etablering_2026!$C:$C,"&gt;="&amp;DATE($A$7,F$8,1))</f>
        <v>3920</v>
      </c>
      <c r="G68" s="33">
        <f>SUMIFS(Etablering_2026!$L:$L,Etablering_2026!$A:$A,$A68,Etablering_2026!$B:$B,"&lt;="&amp;DATE($A$7,G$8,1),Etablering_2026!$C:$C,"&gt;="&amp;DATE($A$7,G$8,1))</f>
        <v>0</v>
      </c>
      <c r="H68" s="33">
        <f>SUMIFS(Etablering_2026!$L:$L,Etablering_2026!$A:$A,$A68,Etablering_2026!$B:$B,"&lt;="&amp;DATE($A$7,H$8,1),Etablering_2026!$C:$C,"&gt;="&amp;DATE($A$7,H$8,1))</f>
        <v>0</v>
      </c>
      <c r="I68" s="33">
        <f>SUMIFS(Etablering_2026!$L:$L,Etablering_2026!$A:$A,$A68,Etablering_2026!$B:$B,"&lt;="&amp;DATE($A$7,I$8,1),Etablering_2026!$C:$C,"&gt;="&amp;DATE($A$7,I$8,1))</f>
        <v>0</v>
      </c>
      <c r="J68" s="33">
        <f>SUMIFS(Etablering_2026!$L:$L,Etablering_2026!$A:$A,$A68,Etablering_2026!$B:$B,"&lt;="&amp;DATE($A$7,J$8,1),Etablering_2026!$C:$C,"&gt;="&amp;DATE($A$7,J$8,1))</f>
        <v>0</v>
      </c>
      <c r="K68" s="33">
        <f>SUMIFS(Etablering_2026!$L:$L,Etablering_2026!$A:$A,$A68,Etablering_2026!$B:$B,"&lt;="&amp;DATE($A$7,K$8,1),Etablering_2026!$C:$C,"&gt;="&amp;DATE($A$7,K$8,1))</f>
        <v>0</v>
      </c>
      <c r="L68" s="33">
        <f>SUMIFS(Etablering_2026!$L:$L,Etablering_2026!$A:$A,$A68,Etablering_2026!$B:$B,"&lt;="&amp;DATE($A$7,L$8,1),Etablering_2026!$C:$C,"&gt;="&amp;DATE($A$7,L$8,1))</f>
        <v>0</v>
      </c>
      <c r="M68" s="34">
        <f>SUMIFS(Etablering_2026!$L:$L,Etablering_2026!$A:$A,$A68,Etablering_2026!$B:$B,"&lt;="&amp;DATE($A$7,M$8,1),Etablering_2026!$C:$C,"&gt;="&amp;DATE($A$7,M$8,1))</f>
        <v>0</v>
      </c>
      <c r="N68" s="35">
        <f t="shared" si="8"/>
        <v>3920</v>
      </c>
      <c r="O68" s="13"/>
      <c r="P68" s="13"/>
      <c r="Q68" s="13"/>
      <c r="R68" s="13"/>
      <c r="S68" s="13"/>
      <c r="T68" s="13"/>
      <c r="U68" s="13"/>
      <c r="V68" s="13"/>
      <c r="W68" s="13"/>
      <c r="X68" s="13"/>
      <c r="Y68" s="13"/>
      <c r="Z68" s="13"/>
    </row>
    <row r="69" spans="1:26">
      <c r="A69" s="30" t="s">
        <v>131</v>
      </c>
      <c r="B69" s="30">
        <f>SUMIFS(Etablering_2026!$L:$L,Etablering_2026!$A:$A,$A69,Etablering_2026!$B:$B,"&lt;="&amp;DATE($A$7,B$8,1),Etablering_2026!$C:$C,"&gt;="&amp;DATE($A$7,B$8,1))</f>
        <v>0</v>
      </c>
      <c r="C69" s="30">
        <f>SUMIFS(Etablering_2026!$L:$L,Etablering_2026!$A:$A,$A69,Etablering_2026!$B:$B,"&lt;="&amp;DATE($A$7,C$8,1),Etablering_2026!$C:$C,"&gt;="&amp;DATE($A$7,C$8,1))</f>
        <v>0</v>
      </c>
      <c r="D69" s="30">
        <f>SUMIFS(Etablering_2026!$L:$L,Etablering_2026!$A:$A,$A69,Etablering_2026!$B:$B,"&lt;="&amp;DATE($A$7,D$8,1),Etablering_2026!$C:$C,"&gt;="&amp;DATE($A$7,D$8,1))</f>
        <v>0</v>
      </c>
      <c r="E69" s="30">
        <f>SUMIFS(Etablering_2026!$L:$L,Etablering_2026!$A:$A,$A69,Etablering_2026!$B:$B,"&lt;="&amp;DATE($A$7,E$8,1),Etablering_2026!$C:$C,"&gt;="&amp;DATE($A$7,E$8,1))</f>
        <v>0</v>
      </c>
      <c r="F69" s="30">
        <f>SUMIFS(Etablering_2026!$L:$L,Etablering_2026!$A:$A,$A69,Etablering_2026!$B:$B,"&lt;="&amp;DATE($A$7,F$8,1),Etablering_2026!$C:$C,"&gt;="&amp;DATE($A$7,F$8,1))</f>
        <v>0</v>
      </c>
      <c r="G69" s="30">
        <f>SUMIFS(Etablering_2026!$L:$L,Etablering_2026!$A:$A,$A69,Etablering_2026!$B:$B,"&lt;="&amp;DATE($A$7,G$8,1),Etablering_2026!$C:$C,"&gt;="&amp;DATE($A$7,G$8,1))</f>
        <v>0</v>
      </c>
      <c r="H69" s="30">
        <f>SUMIFS(Etablering_2026!$L:$L,Etablering_2026!$A:$A,$A69,Etablering_2026!$B:$B,"&lt;="&amp;DATE($A$7,H$8,1),Etablering_2026!$C:$C,"&gt;="&amp;DATE($A$7,H$8,1))</f>
        <v>0</v>
      </c>
      <c r="I69" s="30">
        <f>SUMIFS(Etablering_2026!$L:$L,Etablering_2026!$A:$A,$A69,Etablering_2026!$B:$B,"&lt;="&amp;DATE($A$7,I$8,1),Etablering_2026!$C:$C,"&gt;="&amp;DATE($A$7,I$8,1))</f>
        <v>0</v>
      </c>
      <c r="J69" s="30">
        <f>SUMIFS(Etablering_2026!$L:$L,Etablering_2026!$A:$A,$A69,Etablering_2026!$B:$B,"&lt;="&amp;DATE($A$7,J$8,1),Etablering_2026!$C:$C,"&gt;="&amp;DATE($A$7,J$8,1))</f>
        <v>4000</v>
      </c>
      <c r="K69" s="30">
        <f>SUMIFS(Etablering_2026!$L:$L,Etablering_2026!$A:$A,$A69,Etablering_2026!$B:$B,"&lt;="&amp;DATE($A$7,K$8,1),Etablering_2026!$C:$C,"&gt;="&amp;DATE($A$7,K$8,1))</f>
        <v>0</v>
      </c>
      <c r="L69" s="30">
        <f>SUMIFS(Etablering_2026!$L:$L,Etablering_2026!$A:$A,$A69,Etablering_2026!$B:$B,"&lt;="&amp;DATE($A$7,L$8,1),Etablering_2026!$C:$C,"&gt;="&amp;DATE($A$7,L$8,1))</f>
        <v>0</v>
      </c>
      <c r="M69" s="31">
        <f>SUMIFS(Etablering_2026!$L:$L,Etablering_2026!$A:$A,$A69,Etablering_2026!$B:$B,"&lt;="&amp;DATE($A$7,M$8,1),Etablering_2026!$C:$C,"&gt;="&amp;DATE($A$7,M$8,1))</f>
        <v>0</v>
      </c>
      <c r="N69" s="32">
        <f t="shared" si="8"/>
        <v>4000</v>
      </c>
      <c r="O69" s="13"/>
      <c r="P69" s="13"/>
      <c r="Q69" s="13"/>
      <c r="R69" s="13"/>
      <c r="S69" s="13"/>
      <c r="T69" s="13"/>
      <c r="U69" s="13"/>
      <c r="V69" s="13"/>
      <c r="W69" s="13"/>
      <c r="X69" s="13"/>
      <c r="Y69" s="13"/>
      <c r="Z69" s="13"/>
    </row>
    <row r="70" spans="1:26">
      <c r="A70" s="33" t="s">
        <v>188</v>
      </c>
      <c r="B70" s="33">
        <f>SUMIFS(Etablering_2026!$L:$L,Etablering_2026!$A:$A,$A70,Etablering_2026!$B:$B,"&lt;="&amp;DATE($A$7,B$8,1),Etablering_2026!$C:$C,"&gt;="&amp;DATE($A$7,B$8,1))</f>
        <v>0</v>
      </c>
      <c r="C70" s="33">
        <f>SUMIFS(Etablering_2026!$L:$L,Etablering_2026!$A:$A,$A70,Etablering_2026!$B:$B,"&lt;="&amp;DATE($A$7,C$8,1),Etablering_2026!$C:$C,"&gt;="&amp;DATE($A$7,C$8,1))</f>
        <v>0</v>
      </c>
      <c r="D70" s="33">
        <f>SUMIFS(Etablering_2026!$L:$L,Etablering_2026!$A:$A,$A70,Etablering_2026!$B:$B,"&lt;="&amp;DATE($A$7,D$8,1),Etablering_2026!$C:$C,"&gt;="&amp;DATE($A$7,D$8,1))</f>
        <v>0</v>
      </c>
      <c r="E70" s="33">
        <f>SUMIFS(Etablering_2026!$L:$L,Etablering_2026!$A:$A,$A70,Etablering_2026!$B:$B,"&lt;="&amp;DATE($A$7,E$8,1),Etablering_2026!$C:$C,"&gt;="&amp;DATE($A$7,E$8,1))</f>
        <v>0</v>
      </c>
      <c r="F70" s="33">
        <f>SUMIFS(Etablering_2026!$L:$L,Etablering_2026!$A:$A,$A70,Etablering_2026!$B:$B,"&lt;="&amp;DATE($A$7,F$8,1),Etablering_2026!$C:$C,"&gt;="&amp;DATE($A$7,F$8,1))</f>
        <v>0</v>
      </c>
      <c r="G70" s="33">
        <f>SUMIFS(Etablering_2026!$L:$L,Etablering_2026!$A:$A,$A70,Etablering_2026!$B:$B,"&lt;="&amp;DATE($A$7,G$8,1),Etablering_2026!$C:$C,"&gt;="&amp;DATE($A$7,G$8,1))</f>
        <v>0</v>
      </c>
      <c r="H70" s="33">
        <f>SUMIFS(Etablering_2026!$L:$L,Etablering_2026!$A:$A,$A70,Etablering_2026!$B:$B,"&lt;="&amp;DATE($A$7,H$8,1),Etablering_2026!$C:$C,"&gt;="&amp;DATE($A$7,H$8,1))</f>
        <v>0</v>
      </c>
      <c r="I70" s="33">
        <f>SUMIFS(Etablering_2026!$L:$L,Etablering_2026!$A:$A,$A70,Etablering_2026!$B:$B,"&lt;="&amp;DATE($A$7,I$8,1),Etablering_2026!$C:$C,"&gt;="&amp;DATE($A$7,I$8,1))</f>
        <v>0</v>
      </c>
      <c r="J70" s="33">
        <f>SUMIFS(Etablering_2026!$L:$L,Etablering_2026!$A:$A,$A70,Etablering_2026!$B:$B,"&lt;="&amp;DATE($A$7,J$8,1),Etablering_2026!$C:$C,"&gt;="&amp;DATE($A$7,J$8,1))</f>
        <v>0</v>
      </c>
      <c r="K70" s="33">
        <f>SUMIFS(Etablering_2026!$L:$L,Etablering_2026!$A:$A,$A70,Etablering_2026!$B:$B,"&lt;="&amp;DATE($A$7,K$8,1),Etablering_2026!$C:$C,"&gt;="&amp;DATE($A$7,K$8,1))</f>
        <v>0</v>
      </c>
      <c r="L70" s="33">
        <f>SUMIFS(Etablering_2026!$L:$L,Etablering_2026!$A:$A,$A70,Etablering_2026!$B:$B,"&lt;="&amp;DATE($A$7,L$8,1),Etablering_2026!$C:$C,"&gt;="&amp;DATE($A$7,L$8,1))</f>
        <v>0</v>
      </c>
      <c r="M70" s="34">
        <f>SUMIFS(Etablering_2026!$L:$L,Etablering_2026!$A:$A,$A70,Etablering_2026!$B:$B,"&lt;="&amp;DATE($A$7,M$8,1),Etablering_2026!$C:$C,"&gt;="&amp;DATE($A$7,M$8,1))</f>
        <v>0</v>
      </c>
      <c r="N70" s="35">
        <f t="shared" si="8"/>
        <v>0</v>
      </c>
      <c r="O70" s="13"/>
      <c r="P70" s="13"/>
      <c r="Q70" s="13"/>
      <c r="R70" s="13"/>
      <c r="S70" s="13"/>
      <c r="T70" s="13"/>
      <c r="U70" s="13"/>
      <c r="V70" s="13"/>
      <c r="W70" s="13"/>
      <c r="X70" s="13"/>
      <c r="Y70" s="13"/>
      <c r="Z70" s="13"/>
    </row>
    <row r="71" spans="1:26">
      <c r="A71" s="30" t="s">
        <v>189</v>
      </c>
      <c r="B71" s="30">
        <f>SUMIFS(Etablering_2026!$L:$L,Etablering_2026!$A:$A,$A71,Etablering_2026!$B:$B,"&lt;="&amp;DATE($A$7,B$8,1),Etablering_2026!$C:$C,"&gt;="&amp;DATE($A$7,B$8,1))</f>
        <v>0</v>
      </c>
      <c r="C71" s="30">
        <f>SUMIFS(Etablering_2026!$L:$L,Etablering_2026!$A:$A,$A71,Etablering_2026!$B:$B,"&lt;="&amp;DATE($A$7,C$8,1),Etablering_2026!$C:$C,"&gt;="&amp;DATE($A$7,C$8,1))</f>
        <v>0</v>
      </c>
      <c r="D71" s="30">
        <f>SUMIFS(Etablering_2026!$L:$L,Etablering_2026!$A:$A,$A71,Etablering_2026!$B:$B,"&lt;="&amp;DATE($A$7,D$8,1),Etablering_2026!$C:$C,"&gt;="&amp;DATE($A$7,D$8,1))</f>
        <v>0</v>
      </c>
      <c r="E71" s="30">
        <f>SUMIFS(Etablering_2026!$L:$L,Etablering_2026!$A:$A,$A71,Etablering_2026!$B:$B,"&lt;="&amp;DATE($A$7,E$8,1),Etablering_2026!$C:$C,"&gt;="&amp;DATE($A$7,E$8,1))</f>
        <v>0</v>
      </c>
      <c r="F71" s="30">
        <f>SUMIFS(Etablering_2026!$L:$L,Etablering_2026!$A:$A,$A71,Etablering_2026!$B:$B,"&lt;="&amp;DATE($A$7,F$8,1),Etablering_2026!$C:$C,"&gt;="&amp;DATE($A$7,F$8,1))</f>
        <v>0</v>
      </c>
      <c r="G71" s="30">
        <f>SUMIFS(Etablering_2026!$L:$L,Etablering_2026!$A:$A,$A71,Etablering_2026!$B:$B,"&lt;="&amp;DATE($A$7,G$8,1),Etablering_2026!$C:$C,"&gt;="&amp;DATE($A$7,G$8,1))</f>
        <v>0</v>
      </c>
      <c r="H71" s="30">
        <f>SUMIFS(Etablering_2026!$L:$L,Etablering_2026!$A:$A,$A71,Etablering_2026!$B:$B,"&lt;="&amp;DATE($A$7,H$8,1),Etablering_2026!$C:$C,"&gt;="&amp;DATE($A$7,H$8,1))</f>
        <v>0</v>
      </c>
      <c r="I71" s="30">
        <f>SUMIFS(Etablering_2026!$L:$L,Etablering_2026!$A:$A,$A71,Etablering_2026!$B:$B,"&lt;="&amp;DATE($A$7,I$8,1),Etablering_2026!$C:$C,"&gt;="&amp;DATE($A$7,I$8,1))</f>
        <v>0</v>
      </c>
      <c r="J71" s="30">
        <f>SUMIFS(Etablering_2026!$L:$L,Etablering_2026!$A:$A,$A71,Etablering_2026!$B:$B,"&lt;="&amp;DATE($A$7,J$8,1),Etablering_2026!$C:$C,"&gt;="&amp;DATE($A$7,J$8,1))</f>
        <v>0</v>
      </c>
      <c r="K71" s="30">
        <f>SUMIFS(Etablering_2026!$L:$L,Etablering_2026!$A:$A,$A71,Etablering_2026!$B:$B,"&lt;="&amp;DATE($A$7,K$8,1),Etablering_2026!$C:$C,"&gt;="&amp;DATE($A$7,K$8,1))</f>
        <v>0</v>
      </c>
      <c r="L71" s="30">
        <f>SUMIFS(Etablering_2026!$L:$L,Etablering_2026!$A:$A,$A71,Etablering_2026!$B:$B,"&lt;="&amp;DATE($A$7,L$8,1),Etablering_2026!$C:$C,"&gt;="&amp;DATE($A$7,L$8,1))</f>
        <v>0</v>
      </c>
      <c r="M71" s="31">
        <f>SUMIFS(Etablering_2026!$L:$L,Etablering_2026!$A:$A,$A71,Etablering_2026!$B:$B,"&lt;="&amp;DATE($A$7,M$8,1),Etablering_2026!$C:$C,"&gt;="&amp;DATE($A$7,M$8,1))</f>
        <v>0</v>
      </c>
      <c r="N71" s="32">
        <f t="shared" si="8"/>
        <v>0</v>
      </c>
      <c r="O71" s="13"/>
      <c r="P71" s="13"/>
      <c r="Q71" s="13"/>
      <c r="R71" s="13"/>
      <c r="S71" s="13"/>
      <c r="T71" s="13"/>
      <c r="U71" s="13"/>
      <c r="V71" s="13"/>
      <c r="W71" s="13"/>
      <c r="X71" s="13"/>
      <c r="Y71" s="13"/>
      <c r="Z71" s="13"/>
    </row>
    <row r="72" spans="1:26">
      <c r="A72" s="33" t="s">
        <v>133</v>
      </c>
      <c r="B72" s="33">
        <f>SUMIFS(Etablering_2026!$L:$L,Etablering_2026!$A:$A,$A72,Etablering_2026!$B:$B,"&lt;="&amp;DATE($A$7,B$8,1),Etablering_2026!$C:$C,"&gt;="&amp;DATE($A$7,B$8,1))</f>
        <v>0</v>
      </c>
      <c r="C72" s="33">
        <f>SUMIFS(Etablering_2026!$L:$L,Etablering_2026!$A:$A,$A72,Etablering_2026!$B:$B,"&lt;="&amp;DATE($A$7,C$8,1),Etablering_2026!$C:$C,"&gt;="&amp;DATE($A$7,C$8,1))</f>
        <v>0</v>
      </c>
      <c r="D72" s="33">
        <f>SUMIFS(Etablering_2026!$L:$L,Etablering_2026!$A:$A,$A72,Etablering_2026!$B:$B,"&lt;="&amp;DATE($A$7,D$8,1),Etablering_2026!$C:$C,"&gt;="&amp;DATE($A$7,D$8,1))</f>
        <v>0</v>
      </c>
      <c r="E72" s="33">
        <f>SUMIFS(Etablering_2026!$L:$L,Etablering_2026!$A:$A,$A72,Etablering_2026!$B:$B,"&lt;="&amp;DATE($A$7,E$8,1),Etablering_2026!$C:$C,"&gt;="&amp;DATE($A$7,E$8,1))</f>
        <v>0</v>
      </c>
      <c r="F72" s="33">
        <f>SUMIFS(Etablering_2026!$L:$L,Etablering_2026!$A:$A,$A72,Etablering_2026!$B:$B,"&lt;="&amp;DATE($A$7,F$8,1),Etablering_2026!$C:$C,"&gt;="&amp;DATE($A$7,F$8,1))</f>
        <v>941.6</v>
      </c>
      <c r="G72" s="33">
        <f>SUMIFS(Etablering_2026!$L:$L,Etablering_2026!$A:$A,$A72,Etablering_2026!$B:$B,"&lt;="&amp;DATE($A$7,G$8,1),Etablering_2026!$C:$C,"&gt;="&amp;DATE($A$7,G$8,1))</f>
        <v>0</v>
      </c>
      <c r="H72" s="33">
        <f>SUMIFS(Etablering_2026!$L:$L,Etablering_2026!$A:$A,$A72,Etablering_2026!$B:$B,"&lt;="&amp;DATE($A$7,H$8,1),Etablering_2026!$C:$C,"&gt;="&amp;DATE($A$7,H$8,1))</f>
        <v>0</v>
      </c>
      <c r="I72" s="33">
        <f>SUMIFS(Etablering_2026!$L:$L,Etablering_2026!$A:$A,$A72,Etablering_2026!$B:$B,"&lt;="&amp;DATE($A$7,I$8,1),Etablering_2026!$C:$C,"&gt;="&amp;DATE($A$7,I$8,1))</f>
        <v>0</v>
      </c>
      <c r="J72" s="33">
        <f>SUMIFS(Etablering_2026!$L:$L,Etablering_2026!$A:$A,$A72,Etablering_2026!$B:$B,"&lt;="&amp;DATE($A$7,J$8,1),Etablering_2026!$C:$C,"&gt;="&amp;DATE($A$7,J$8,1))</f>
        <v>0</v>
      </c>
      <c r="K72" s="33">
        <f>SUMIFS(Etablering_2026!$L:$L,Etablering_2026!$A:$A,$A72,Etablering_2026!$B:$B,"&lt;="&amp;DATE($A$7,K$8,1),Etablering_2026!$C:$C,"&gt;="&amp;DATE($A$7,K$8,1))</f>
        <v>0</v>
      </c>
      <c r="L72" s="33">
        <f>SUMIFS(Etablering_2026!$L:$L,Etablering_2026!$A:$A,$A72,Etablering_2026!$B:$B,"&lt;="&amp;DATE($A$7,L$8,1),Etablering_2026!$C:$C,"&gt;="&amp;DATE($A$7,L$8,1))</f>
        <v>0</v>
      </c>
      <c r="M72" s="34">
        <f>SUMIFS(Etablering_2026!$L:$L,Etablering_2026!$A:$A,$A72,Etablering_2026!$B:$B,"&lt;="&amp;DATE($A$7,M$8,1),Etablering_2026!$C:$C,"&gt;="&amp;DATE($A$7,M$8,1))</f>
        <v>0</v>
      </c>
      <c r="N72" s="35">
        <f t="shared" si="8"/>
        <v>941.6</v>
      </c>
      <c r="O72" s="13"/>
      <c r="P72" s="13"/>
      <c r="Q72" s="13"/>
      <c r="R72" s="13"/>
      <c r="S72" s="13"/>
      <c r="T72" s="13"/>
      <c r="U72" s="13"/>
      <c r="V72" s="13"/>
      <c r="W72" s="13"/>
      <c r="X72" s="13"/>
      <c r="Y72" s="13"/>
      <c r="Z72" s="13"/>
    </row>
    <row r="73" spans="1:26">
      <c r="A73" s="30" t="s">
        <v>134</v>
      </c>
      <c r="B73" s="30">
        <f>SUMIFS(Etablering_2026!$L:$L,Etablering_2026!$A:$A,$A73,Etablering_2026!$B:$B,"&lt;="&amp;DATE($A$7,B$8,1),Etablering_2026!$C:$C,"&gt;="&amp;DATE($A$7,B$8,1))</f>
        <v>0</v>
      </c>
      <c r="C73" s="30">
        <f>SUMIFS(Etablering_2026!$L:$L,Etablering_2026!$A:$A,$A73,Etablering_2026!$B:$B,"&lt;="&amp;DATE($A$7,C$8,1),Etablering_2026!$C:$C,"&gt;="&amp;DATE($A$7,C$8,1))</f>
        <v>0</v>
      </c>
      <c r="D73" s="30">
        <f>SUMIFS(Etablering_2026!$L:$L,Etablering_2026!$A:$A,$A73,Etablering_2026!$B:$B,"&lt;="&amp;DATE($A$7,D$8,1),Etablering_2026!$C:$C,"&gt;="&amp;DATE($A$7,D$8,1))</f>
        <v>0</v>
      </c>
      <c r="E73" s="30">
        <f>SUMIFS(Etablering_2026!$L:$L,Etablering_2026!$A:$A,$A73,Etablering_2026!$B:$B,"&lt;="&amp;DATE($A$7,E$8,1),Etablering_2026!$C:$C,"&gt;="&amp;DATE($A$7,E$8,1))</f>
        <v>0</v>
      </c>
      <c r="F73" s="30">
        <f>SUMIFS(Etablering_2026!$L:$L,Etablering_2026!$A:$A,$A73,Etablering_2026!$B:$B,"&lt;="&amp;DATE($A$7,F$8,1),Etablering_2026!$C:$C,"&gt;="&amp;DATE($A$7,F$8,1))</f>
        <v>2000</v>
      </c>
      <c r="G73" s="30">
        <f>SUMIFS(Etablering_2026!$L:$L,Etablering_2026!$A:$A,$A73,Etablering_2026!$B:$B,"&lt;="&amp;DATE($A$7,G$8,1),Etablering_2026!$C:$C,"&gt;="&amp;DATE($A$7,G$8,1))</f>
        <v>0</v>
      </c>
      <c r="H73" s="30">
        <f>SUMIFS(Etablering_2026!$L:$L,Etablering_2026!$A:$A,$A73,Etablering_2026!$B:$B,"&lt;="&amp;DATE($A$7,H$8,1),Etablering_2026!$C:$C,"&gt;="&amp;DATE($A$7,H$8,1))</f>
        <v>0</v>
      </c>
      <c r="I73" s="30">
        <f>SUMIFS(Etablering_2026!$L:$L,Etablering_2026!$A:$A,$A73,Etablering_2026!$B:$B,"&lt;="&amp;DATE($A$7,I$8,1),Etablering_2026!$C:$C,"&gt;="&amp;DATE($A$7,I$8,1))</f>
        <v>0</v>
      </c>
      <c r="J73" s="30">
        <f>SUMIFS(Etablering_2026!$L:$L,Etablering_2026!$A:$A,$A73,Etablering_2026!$B:$B,"&lt;="&amp;DATE($A$7,J$8,1),Etablering_2026!$C:$C,"&gt;="&amp;DATE($A$7,J$8,1))</f>
        <v>0</v>
      </c>
      <c r="K73" s="30">
        <f>SUMIFS(Etablering_2026!$L:$L,Etablering_2026!$A:$A,$A73,Etablering_2026!$B:$B,"&lt;="&amp;DATE($A$7,K$8,1),Etablering_2026!$C:$C,"&gt;="&amp;DATE($A$7,K$8,1))</f>
        <v>0</v>
      </c>
      <c r="L73" s="30">
        <f>SUMIFS(Etablering_2026!$L:$L,Etablering_2026!$A:$A,$A73,Etablering_2026!$B:$B,"&lt;="&amp;DATE($A$7,L$8,1),Etablering_2026!$C:$C,"&gt;="&amp;DATE($A$7,L$8,1))</f>
        <v>0</v>
      </c>
      <c r="M73" s="31">
        <f>SUMIFS(Etablering_2026!$L:$L,Etablering_2026!$A:$A,$A73,Etablering_2026!$B:$B,"&lt;="&amp;DATE($A$7,M$8,1),Etablering_2026!$C:$C,"&gt;="&amp;DATE($A$7,M$8,1))</f>
        <v>0</v>
      </c>
      <c r="N73" s="32">
        <f t="shared" si="8"/>
        <v>2000</v>
      </c>
      <c r="O73" s="13"/>
      <c r="P73" s="13"/>
      <c r="Q73" s="13"/>
      <c r="R73" s="13"/>
      <c r="S73" s="13"/>
      <c r="T73" s="13"/>
      <c r="U73" s="13"/>
      <c r="V73" s="13"/>
      <c r="W73" s="13"/>
      <c r="X73" s="13"/>
      <c r="Y73" s="13"/>
      <c r="Z73" s="13"/>
    </row>
    <row r="74" spans="1:26">
      <c r="A74" s="33"/>
      <c r="B74" s="33"/>
      <c r="C74" s="33"/>
      <c r="D74" s="33"/>
      <c r="E74" s="33"/>
      <c r="F74" s="33"/>
      <c r="G74" s="33"/>
      <c r="H74" s="33"/>
      <c r="I74" s="33"/>
      <c r="J74" s="33"/>
      <c r="K74" s="33"/>
      <c r="L74" s="33"/>
      <c r="M74" s="34"/>
      <c r="N74" s="35"/>
      <c r="O74" s="13"/>
      <c r="P74" s="13"/>
      <c r="Q74" s="13"/>
      <c r="R74" s="13"/>
      <c r="S74" s="13"/>
      <c r="T74" s="13"/>
      <c r="U74" s="13"/>
      <c r="V74" s="13"/>
      <c r="W74" s="13"/>
      <c r="X74" s="13"/>
      <c r="Y74" s="13"/>
      <c r="Z74" s="13"/>
    </row>
    <row r="75" spans="1:26">
      <c r="A75" s="30"/>
      <c r="B75" s="30"/>
      <c r="C75" s="30"/>
      <c r="D75" s="30"/>
      <c r="E75" s="30"/>
      <c r="F75" s="30"/>
      <c r="G75" s="30"/>
      <c r="H75" s="30"/>
      <c r="I75" s="30"/>
      <c r="J75" s="30"/>
      <c r="K75" s="30"/>
      <c r="L75" s="30"/>
      <c r="M75" s="31"/>
      <c r="N75" s="32"/>
      <c r="O75" s="13"/>
      <c r="P75" s="13"/>
      <c r="Q75" s="13"/>
      <c r="R75" s="13"/>
      <c r="S75" s="13"/>
      <c r="T75" s="13"/>
      <c r="U75" s="13"/>
      <c r="V75" s="13"/>
      <c r="W75" s="13"/>
      <c r="X75" s="13"/>
      <c r="Y75" s="13"/>
      <c r="Z75" s="13"/>
    </row>
    <row r="76" ht="15.75" spans="1:26">
      <c r="A76" s="36" t="s">
        <v>190</v>
      </c>
      <c r="B76" s="36">
        <f t="shared" ref="B76:N76" si="9">SUM(B57:B75)</f>
        <v>0</v>
      </c>
      <c r="C76" s="36">
        <f t="shared" si="9"/>
        <v>0</v>
      </c>
      <c r="D76" s="36">
        <f t="shared" si="9"/>
        <v>0</v>
      </c>
      <c r="E76" s="36">
        <f t="shared" si="9"/>
        <v>0</v>
      </c>
      <c r="F76" s="36">
        <f t="shared" si="9"/>
        <v>6861.6</v>
      </c>
      <c r="G76" s="36">
        <f t="shared" si="9"/>
        <v>0</v>
      </c>
      <c r="H76" s="36">
        <f t="shared" si="9"/>
        <v>45649.6</v>
      </c>
      <c r="I76" s="36">
        <f t="shared" si="9"/>
        <v>0</v>
      </c>
      <c r="J76" s="36">
        <f t="shared" si="9"/>
        <v>55600</v>
      </c>
      <c r="K76" s="36">
        <f t="shared" si="9"/>
        <v>8000</v>
      </c>
      <c r="L76" s="36">
        <f t="shared" si="9"/>
        <v>3200</v>
      </c>
      <c r="M76" s="37">
        <f t="shared" si="9"/>
        <v>0</v>
      </c>
      <c r="N76" s="44">
        <f t="shared" si="9"/>
        <v>119311.2</v>
      </c>
      <c r="O76" s="13"/>
      <c r="P76" s="13"/>
      <c r="Q76" s="13"/>
      <c r="R76" s="13"/>
      <c r="S76" s="13"/>
      <c r="T76" s="13"/>
      <c r="U76" s="13"/>
      <c r="V76" s="13"/>
      <c r="W76" s="13"/>
      <c r="X76" s="13"/>
      <c r="Y76" s="13"/>
      <c r="Z76" s="13"/>
    </row>
    <row r="77" ht="15.75" spans="1:26">
      <c r="A77" s="36" t="s">
        <v>191</v>
      </c>
      <c r="B77" s="36">
        <f t="shared" ref="B77:N77" si="10">B48+B54+B76</f>
        <v>5646</v>
      </c>
      <c r="C77" s="36">
        <f t="shared" si="10"/>
        <v>5646</v>
      </c>
      <c r="D77" s="36">
        <f t="shared" si="10"/>
        <v>5646</v>
      </c>
      <c r="E77" s="36">
        <f t="shared" si="10"/>
        <v>5646</v>
      </c>
      <c r="F77" s="36">
        <f t="shared" si="10"/>
        <v>12507.6</v>
      </c>
      <c r="G77" s="36">
        <f t="shared" si="10"/>
        <v>6446</v>
      </c>
      <c r="H77" s="36">
        <f t="shared" si="10"/>
        <v>52095.6</v>
      </c>
      <c r="I77" s="36">
        <f t="shared" si="10"/>
        <v>6446</v>
      </c>
      <c r="J77" s="36">
        <f t="shared" si="10"/>
        <v>61246</v>
      </c>
      <c r="K77" s="36">
        <f t="shared" si="10"/>
        <v>13646</v>
      </c>
      <c r="L77" s="36">
        <f t="shared" si="10"/>
        <v>8846</v>
      </c>
      <c r="M77" s="37">
        <f t="shared" si="10"/>
        <v>6846</v>
      </c>
      <c r="N77" s="44">
        <f t="shared" si="10"/>
        <v>190663.2</v>
      </c>
      <c r="O77" s="13"/>
      <c r="P77" s="13"/>
      <c r="Q77" s="13"/>
      <c r="R77" s="13"/>
      <c r="S77" s="13"/>
      <c r="T77" s="13"/>
      <c r="U77" s="13"/>
      <c r="V77" s="13"/>
      <c r="W77" s="13"/>
      <c r="X77" s="13"/>
      <c r="Y77" s="13"/>
      <c r="Z77" s="13"/>
    </row>
    <row r="78" ht="12.75" customHeight="1" spans="1:26">
      <c r="A78" s="23"/>
      <c r="B78" s="23"/>
      <c r="C78" s="23"/>
      <c r="D78" s="23"/>
      <c r="E78" s="23"/>
      <c r="F78" s="23"/>
      <c r="G78" s="23"/>
      <c r="H78" s="23"/>
      <c r="I78" s="23"/>
      <c r="J78" s="23"/>
      <c r="K78" s="23"/>
      <c r="L78" s="23"/>
      <c r="M78" s="24"/>
      <c r="N78" s="25"/>
      <c r="O78" s="13"/>
      <c r="P78" s="13"/>
      <c r="Q78" s="13"/>
      <c r="R78" s="13"/>
      <c r="S78" s="13"/>
      <c r="T78" s="13"/>
      <c r="U78" s="13"/>
      <c r="V78" s="13"/>
      <c r="W78" s="13"/>
      <c r="X78" s="13"/>
      <c r="Y78" s="13"/>
      <c r="Z78" s="13"/>
    </row>
    <row r="79" ht="16.5" spans="1:26">
      <c r="A79" s="51" t="s">
        <v>192</v>
      </c>
      <c r="B79" s="52">
        <f t="shared" ref="B79:N79" si="11">B36-B77</f>
        <v>-6286</v>
      </c>
      <c r="C79" s="52">
        <f t="shared" si="11"/>
        <v>-6286</v>
      </c>
      <c r="D79" s="52">
        <f t="shared" si="11"/>
        <v>-6286</v>
      </c>
      <c r="E79" s="52">
        <f t="shared" si="11"/>
        <v>-6286</v>
      </c>
      <c r="F79" s="52">
        <f t="shared" si="11"/>
        <v>-1947.6</v>
      </c>
      <c r="G79" s="52">
        <f t="shared" si="11"/>
        <v>-17366</v>
      </c>
      <c r="H79" s="52">
        <f t="shared" si="11"/>
        <v>-54215.6</v>
      </c>
      <c r="I79" s="52">
        <f t="shared" si="11"/>
        <v>-8566</v>
      </c>
      <c r="J79" s="52">
        <f t="shared" si="11"/>
        <v>-63366</v>
      </c>
      <c r="K79" s="52">
        <f t="shared" si="11"/>
        <v>-16726</v>
      </c>
      <c r="L79" s="52">
        <f t="shared" si="11"/>
        <v>-4278.60273972603</v>
      </c>
      <c r="M79" s="53">
        <f t="shared" si="11"/>
        <v>-5278.60273972603</v>
      </c>
      <c r="N79" s="54">
        <f t="shared" si="11"/>
        <v>-196888.405479452</v>
      </c>
      <c r="O79" s="13"/>
      <c r="P79" s="13"/>
      <c r="Q79" s="13"/>
      <c r="R79" s="13"/>
      <c r="S79" s="13"/>
      <c r="T79" s="13"/>
      <c r="U79" s="13"/>
      <c r="V79" s="13"/>
      <c r="W79" s="13"/>
      <c r="X79" s="13"/>
      <c r="Y79" s="13"/>
      <c r="Z79" s="13"/>
    </row>
    <row r="80" ht="12.75" customHeight="1"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spans="1:26">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spans="1:26">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2.75" customHeight="1" spans="1:26">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2.75" customHeight="1" spans="1:26">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ht="12.75" customHeight="1" spans="1:26">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ht="12.75" customHeight="1" spans="1:26">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ht="12.75" customHeight="1" spans="1:26">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ht="12.75" customHeight="1" spans="1:2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ht="12.75" customHeight="1" spans="1:26">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ht="12.75" customHeight="1" spans="1:26">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ht="12.75" customHeight="1" spans="1:26">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ht="12.75" customHeight="1" spans="1:26">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ht="12.75" customHeight="1" spans="1:26">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ht="12.75" customHeight="1" spans="1:26">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sheetData>
  <mergeCells count="5">
    <mergeCell ref="B1:Z1"/>
    <mergeCell ref="A4:N4"/>
    <mergeCell ref="B6:N6"/>
    <mergeCell ref="O53:Z53"/>
    <mergeCell ref="O2:Z6"/>
  </mergeCells>
  <pageMargins left="0.78740157480315" right="0.511811023622047" top="0.29" bottom="0.43" header="0" footer="0"/>
  <pageSetup paperSize="9" orientation="landscape"/>
  <headerFooter>
    <oddFooter>&amp;CDownload fra www.startvaekst.dk</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D21" sqref="D21"/>
    </sheetView>
  </sheetViews>
  <sheetFormatPr defaultColWidth="9.14285714285714" defaultRowHeight="12.75" outlineLevelCol="5"/>
  <cols>
    <col min="1" max="1" width="21.1428571428571" style="1" customWidth="1"/>
    <col min="2" max="2" width="26.4285714285714" customWidth="1"/>
    <col min="3" max="4" width="15.2857142857143" customWidth="1"/>
    <col min="5" max="5" width="14.8571428571429" customWidth="1"/>
    <col min="6" max="6" width="39.1428571428571" customWidth="1"/>
  </cols>
  <sheetData>
    <row r="1" ht="25.5" spans="1:6">
      <c r="A1" s="1" t="s">
        <v>193</v>
      </c>
      <c r="B1" t="s">
        <v>194</v>
      </c>
      <c r="C1" t="s">
        <v>195</v>
      </c>
      <c r="D1" t="s">
        <v>196</v>
      </c>
      <c r="E1" t="s">
        <v>197</v>
      </c>
      <c r="F1" t="s">
        <v>196</v>
      </c>
    </row>
    <row r="2" spans="1:6">
      <c r="B2" s="2" t="s">
        <v>198</v>
      </c>
      <c r="C2" s="3">
        <f>1563*4</f>
        <v>6252</v>
      </c>
      <c r="D2" s="4" t="s">
        <v>199</v>
      </c>
      <c r="E2">
        <v>0</v>
      </c>
      <c r="F2" t="s">
        <v>200</v>
      </c>
    </row>
    <row r="3" spans="1:6">
      <c r="B3" s="2" t="s">
        <v>14</v>
      </c>
      <c r="C3" s="4">
        <v>528</v>
      </c>
      <c r="D3" s="4" t="s">
        <v>201</v>
      </c>
      <c r="E3">
        <f>97*12</f>
        <v>1164</v>
      </c>
      <c r="F3" t="s">
        <v>202</v>
      </c>
    </row>
    <row r="4" spans="1:6">
      <c r="A4" s="2" t="s">
        <v>18</v>
      </c>
      <c r="B4" s="2" t="s">
        <v>203</v>
      </c>
      <c r="C4" s="4">
        <v>1177.4</v>
      </c>
      <c r="D4" s="5"/>
    </row>
    <row r="5" spans="1:6">
      <c r="A5" s="2" t="s">
        <v>18</v>
      </c>
      <c r="B5" s="2" t="s">
        <v>204</v>
      </c>
      <c r="C5" s="4">
        <v>829</v>
      </c>
      <c r="D5" s="5"/>
    </row>
    <row r="6" spans="1:6">
      <c r="A6" s="2" t="s">
        <v>18</v>
      </c>
      <c r="B6" s="2" t="s">
        <v>205</v>
      </c>
      <c r="C6" s="4">
        <v>5903.4</v>
      </c>
      <c r="D6" s="5"/>
    </row>
    <row r="7" spans="1:6">
      <c r="A7" s="2" t="s">
        <v>18</v>
      </c>
      <c r="B7" s="2" t="s">
        <v>206</v>
      </c>
      <c r="C7" s="4">
        <v>1871.3</v>
      </c>
      <c r="D7" s="5"/>
    </row>
    <row r="8" spans="1:6">
      <c r="A8" s="2" t="s">
        <v>18</v>
      </c>
      <c r="B8" s="6" t="s">
        <v>207</v>
      </c>
      <c r="C8" s="5">
        <v>4453.68</v>
      </c>
      <c r="D8" s="5" t="s">
        <v>208</v>
      </c>
    </row>
    <row r="9" spans="1:6">
      <c r="A9" s="2" t="s">
        <v>18</v>
      </c>
      <c r="B9" s="6" t="s">
        <v>209</v>
      </c>
      <c r="C9" s="4">
        <v>540.89</v>
      </c>
      <c r="D9" s="5" t="s">
        <v>210</v>
      </c>
    </row>
    <row r="10" spans="1:6">
      <c r="A10" s="2" t="s">
        <v>18</v>
      </c>
      <c r="B10" s="2" t="s">
        <v>211</v>
      </c>
      <c r="C10" s="4">
        <v>3872.88</v>
      </c>
      <c r="D10" s="5"/>
    </row>
    <row r="11" spans="1:6">
      <c r="A11" s="2" t="s">
        <v>18</v>
      </c>
      <c r="B11" s="2" t="s">
        <v>212</v>
      </c>
      <c r="C11" s="4">
        <v>6508.61</v>
      </c>
      <c r="D11" t="s">
        <v>213</v>
      </c>
    </row>
    <row r="12" spans="1:6">
      <c r="A12" s="2" t="s">
        <v>18</v>
      </c>
      <c r="B12" s="2" t="s">
        <v>214</v>
      </c>
      <c r="C12" s="4">
        <v>1853.9</v>
      </c>
      <c r="D12" s="5"/>
    </row>
    <row r="13" spans="1:6">
      <c r="A13" s="7" t="s">
        <v>215</v>
      </c>
      <c r="B13" s="6" t="s">
        <v>216</v>
      </c>
      <c r="C13" s="5"/>
      <c r="D13" s="5"/>
      <c r="F13" t="s">
        <v>217</v>
      </c>
    </row>
    <row r="14" spans="1:6">
      <c r="A14" s="7" t="s">
        <v>215</v>
      </c>
      <c r="B14" s="6" t="s">
        <v>218</v>
      </c>
      <c r="C14" s="5"/>
      <c r="D14" s="5"/>
      <c r="F14" t="s">
        <v>219</v>
      </c>
    </row>
    <row r="15" ht="25.5" spans="1:6">
      <c r="A15" s="1" t="s">
        <v>220</v>
      </c>
      <c r="B15" s="2" t="s">
        <v>221</v>
      </c>
      <c r="C15" s="4">
        <v>3456</v>
      </c>
      <c r="D15" s="4"/>
      <c r="E15">
        <v>2880</v>
      </c>
      <c r="F15" t="s">
        <v>222</v>
      </c>
    </row>
    <row r="16" ht="38.25" spans="1:6">
      <c r="A16" s="1" t="s">
        <v>220</v>
      </c>
      <c r="B16" s="6" t="s">
        <v>223</v>
      </c>
      <c r="C16">
        <v>1728</v>
      </c>
      <c r="D16" s="4" t="s">
        <v>224</v>
      </c>
      <c r="E16">
        <v>1728</v>
      </c>
      <c r="F16" t="s">
        <v>225</v>
      </c>
    </row>
    <row r="17" ht="25.5" spans="1:6">
      <c r="A17" s="1" t="s">
        <v>220</v>
      </c>
      <c r="B17" s="2" t="s">
        <v>226</v>
      </c>
      <c r="E17">
        <v>3100</v>
      </c>
    </row>
    <row r="18" spans="1:6">
      <c r="A18" s="8"/>
      <c r="B18" s="6" t="s">
        <v>227</v>
      </c>
      <c r="C18" s="4"/>
      <c r="D18" s="5"/>
    </row>
    <row r="19" spans="1:6">
      <c r="A19" s="8"/>
      <c r="B19" s="6" t="s">
        <v>228</v>
      </c>
      <c r="C19" s="5"/>
      <c r="D19" s="5"/>
      <c r="F19" t="s">
        <v>229</v>
      </c>
    </row>
    <row r="20" ht="25.5" spans="1:6">
      <c r="A20" s="8"/>
      <c r="B20" s="6" t="s">
        <v>230</v>
      </c>
      <c r="C20" s="5"/>
      <c r="D20" s="5"/>
    </row>
    <row r="21" ht="38.25" spans="1:6">
      <c r="A21" s="8"/>
      <c r="B21" s="7" t="s">
        <v>231</v>
      </c>
      <c r="C21" s="5"/>
      <c r="D21" s="5"/>
    </row>
    <row r="22" ht="25.5" spans="1:6">
      <c r="A22" s="8"/>
      <c r="B22" s="6" t="s">
        <v>232</v>
      </c>
      <c r="C22" s="5"/>
      <c r="D22" s="5"/>
      <c r="F22" s="9" t="s">
        <v>233</v>
      </c>
    </row>
    <row r="23" spans="1:6">
      <c r="B23" s="6" t="s">
        <v>234</v>
      </c>
      <c r="C23" s="5"/>
      <c r="D23" s="5"/>
      <c r="F23" t="s">
        <v>235</v>
      </c>
    </row>
    <row r="24" spans="1:6">
      <c r="B24" s="10" t="s">
        <v>236</v>
      </c>
    </row>
    <row r="25" spans="1:6">
      <c r="B25" s="10" t="s">
        <v>237</v>
      </c>
    </row>
    <row r="26" spans="1:6">
      <c r="B26" s="10" t="s">
        <v>238</v>
      </c>
    </row>
    <row r="27" spans="1:6">
      <c r="B27" s="10" t="s">
        <v>239</v>
      </c>
    </row>
    <row r="45" spans="2:3">
      <c r="B45" s="10"/>
      <c r="C45"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Privat</vt:lpstr>
      <vt:lpstr>Indtægter (Forecast)</vt:lpstr>
      <vt:lpstr>Udgifter (Forecast)</vt:lpstr>
      <vt:lpstr>Etablering_2026</vt:lpstr>
      <vt:lpstr>Likviditetsbudget</vt:lpstr>
      <vt:lpstr>Driftsbudget</vt:lpstr>
      <vt:lpstr>Forsikringer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mette</cp:lastModifiedBy>
  <dcterms:created xsi:type="dcterms:W3CDTF">2026-06-03T11:32:00Z</dcterms:created>
  <dcterms:modified xsi:type="dcterms:W3CDTF">2026-07-07T08:14:19Z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AEE5BD1F688243EE90A03EB76B5EA974_12</vt:lpwstr>
  </property>
  <property fmtid="{D5CDD505-2E9C-101B-9397-08002B2CF9AE}" pid="3" name="KSOProductBuildVer">
    <vt:lpwstr>1033-12.1.0.26880</vt:lpwstr>
  </property>
  <property fmtid="{D5CDD505-2E9C-101B-9397-08002B2CF9AE}" pid="4" name="CalculationRule">
    <vt:i4>0</vt:i4>
  </property>
</Properties>
</file>